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  <sheet xmlns:r="http://schemas.openxmlformats.org/officeDocument/2006/relationships" name="튜토리얼·메인 흐름" sheetId="2" state="visible" r:id="rId2"/>
    <sheet xmlns:r="http://schemas.openxmlformats.org/officeDocument/2006/relationships" name="그래프DB 일정" sheetId="3" state="visible" r:id="rId3"/>
    <sheet xmlns:r="http://schemas.openxmlformats.org/officeDocument/2006/relationships" name="뉴스 자동수집·분석" sheetId="4" state="visible" r:id="rId4"/>
    <sheet xmlns:r="http://schemas.openxmlformats.org/officeDocument/2006/relationships" name="팀 배치" sheetId="5" state="visible" r:id="rId5"/>
  </sheets>
  <definedNames>
    <definedName name="_xlnm._FilterDatabase" localSheetId="1" hidden="1">'튜토리얼·메인 흐름'!$A$8:$J$18</definedName>
    <definedName name="_xlnm._FilterDatabase" localSheetId="2" hidden="1">'그래프DB 일정'!$A$8:$L$16</definedName>
    <definedName name="_xlnm._FilterDatabase" localSheetId="3" hidden="1">'뉴스 자동수집·분석'!$A$8:$J$20</definedName>
    <definedName name="_xlnm._FilterDatabase" localSheetId="4" hidden="1">'팀 배치'!$A$7:$G$14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&quot; 주&quot;"/>
  </numFmts>
  <fonts count="17">
    <font>
      <name val="Carlito"/>
      <sz val="11"/>
    </font>
    <font>
      <name val="Arial"/>
      <color rgb="FF243047"/>
      <sz val="10"/>
    </font>
    <font>
      <name val="Arial"/>
      <b val="1"/>
      <color rgb="FF243047"/>
      <sz val="15"/>
    </font>
    <font>
      <name val="Arial"/>
      <b val="1"/>
      <color rgb="FF4A3A86"/>
      <sz val="10"/>
    </font>
    <font>
      <name val="Arial"/>
      <i val="1"/>
      <color rgb="FF64748B"/>
      <sz val="9"/>
    </font>
    <font>
      <name val="Arial"/>
      <b val="1"/>
      <color rgb="FFFFFFFF"/>
      <sz val="10"/>
    </font>
    <font>
      <name val="Arial"/>
      <b val="1"/>
      <color rgb="FF6956B6"/>
      <sz val="11"/>
    </font>
    <font>
      <name val="Arial"/>
      <b val="1"/>
      <color rgb="FF3D3270"/>
      <sz val="10"/>
    </font>
    <font>
      <name val="Arial"/>
      <b val="1"/>
      <color rgb="00243047"/>
      <sz val="15"/>
    </font>
    <font>
      <name val="Arial"/>
      <b val="1"/>
      <color rgb="004A3A86"/>
      <sz val="10"/>
    </font>
    <font>
      <name val="Arial"/>
      <color rgb="00243047"/>
      <sz val="10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b val="1"/>
      <color rgb="00243047"/>
      <sz val="10"/>
    </font>
    <font>
      <name val="Arial"/>
      <b val="1"/>
      <color rgb="003D3270"/>
      <sz val="10"/>
    </font>
    <font>
      <name val="Arial"/>
      <b val="1"/>
      <color rgb="00287268"/>
      <sz val="10"/>
    </font>
    <font>
      <name val="Arial"/>
      <b val="1"/>
      <color rgb="00B25C2A"/>
      <sz val="10"/>
    </font>
  </fonts>
  <fills count="14">
    <fill>
      <patternFill/>
    </fill>
    <fill>
      <patternFill patternType="gray125"/>
    </fill>
    <fill>
      <patternFill patternType="solid">
        <fgColor rgb="FF33246B"/>
      </patternFill>
    </fill>
    <fill>
      <patternFill patternType="solid">
        <fgColor rgb="FFFFF4D8"/>
      </patternFill>
    </fill>
    <fill>
      <patternFill patternType="solid">
        <fgColor rgb="FFF7F8FB"/>
      </patternFill>
    </fill>
    <fill>
      <patternFill patternType="solid">
        <fgColor rgb="FFEAE5FA"/>
      </patternFill>
    </fill>
    <fill>
      <patternFill patternType="solid">
        <fgColor rgb="0033246B"/>
      </patternFill>
    </fill>
    <fill>
      <patternFill patternType="solid">
        <fgColor rgb="00FFF4D8"/>
      </patternFill>
    </fill>
    <fill>
      <patternFill patternType="solid">
        <fgColor rgb="00F7F8FB"/>
      </patternFill>
    </fill>
    <fill>
      <patternFill patternType="solid">
        <fgColor rgb="00EAE5FA"/>
      </patternFill>
    </fill>
    <fill>
      <patternFill patternType="solid">
        <fgColor rgb="00195E56"/>
      </patternFill>
    </fill>
    <fill>
      <patternFill patternType="solid">
        <fgColor rgb="00F2F8F6"/>
      </patternFill>
    </fill>
    <fill>
      <patternFill patternType="solid">
        <fgColor rgb="00A65325"/>
      </patternFill>
    </fill>
    <fill>
      <patternFill patternType="solid">
        <fgColor rgb="00FBF6F2"/>
      </patternFill>
    </fill>
  </fills>
  <borders count="5">
    <border/>
    <border>
      <bottom style="thin">
        <color rgb="FFD8DDE8"/>
      </bottom>
    </border>
    <border>
      <bottom style="hair">
        <color rgb="00D8DDE8"/>
      </bottom>
    </border>
    <border>
      <bottom style="hair">
        <color rgb="00D8E6E3"/>
      </bottom>
    </border>
    <border>
      <bottom style="hair">
        <color rgb="00E6DAD2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pivotButton="0" quotePrefix="0" xfId="0"/>
    <xf numFmtId="165" fontId="5" fillId="2" borderId="0" applyAlignment="1" pivotButton="0" quotePrefix="0" xfId="0">
      <alignment horizontal="center" vertical="center"/>
    </xf>
    <xf numFmtId="9" fontId="1" fillId="0" borderId="0" pivotButton="0" quotePrefix="0" xfId="0"/>
    <xf numFmtId="9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9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9" fontId="1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9" fontId="7" fillId="5" borderId="0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9" fontId="7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164" fontId="1" fillId="0" borderId="0" pivotButton="0" quotePrefix="0" xfId="0"/>
    <xf numFmtId="9" fontId="1" fillId="0" borderId="0" pivotButton="0" quotePrefix="0" xfId="0"/>
    <xf numFmtId="165" fontId="5" fillId="2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9" fontId="1" fillId="3" borderId="0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9" fontId="7" fillId="5" borderId="0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9" fontId="7" fillId="5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6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164" fontId="10" fillId="0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9" fontId="10" fillId="7" borderId="2" applyAlignment="1" pivotButton="0" quotePrefix="0" xfId="0">
      <alignment horizontal="right" vertical="center"/>
    </xf>
    <xf numFmtId="0" fontId="10" fillId="8" borderId="2" applyAlignment="1" pivotButton="0" quotePrefix="0" xfId="0">
      <alignment horizontal="left" vertical="center"/>
    </xf>
    <xf numFmtId="164" fontId="10" fillId="8" borderId="2" applyAlignment="1" pivotButton="0" quotePrefix="0" xfId="0">
      <alignment horizontal="left" vertical="center"/>
    </xf>
    <xf numFmtId="0" fontId="14" fillId="9" borderId="2" applyAlignment="1" pivotButton="0" quotePrefix="0" xfId="0">
      <alignment horizontal="left" vertical="center"/>
    </xf>
    <xf numFmtId="164" fontId="14" fillId="9" borderId="2" applyAlignment="1" pivotButton="0" quotePrefix="0" xfId="0">
      <alignment horizontal="left" vertical="center"/>
    </xf>
    <xf numFmtId="9" fontId="14" fillId="9" borderId="2" applyAlignment="1" pivotButton="0" quotePrefix="0" xfId="0">
      <alignment horizontal="right" vertical="center"/>
    </xf>
    <xf numFmtId="0" fontId="10" fillId="8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3" fillId="8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5" fillId="0" borderId="0" pivotButton="0" quotePrefix="0" xfId="0"/>
    <xf numFmtId="0" fontId="12" fillId="10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164" fontId="10" fillId="0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9" fontId="10" fillId="7" borderId="3" applyAlignment="1" pivotButton="0" quotePrefix="0" xfId="0">
      <alignment horizontal="right" vertical="center"/>
    </xf>
    <xf numFmtId="0" fontId="10" fillId="11" borderId="3" applyAlignment="1" pivotButton="0" quotePrefix="0" xfId="0">
      <alignment horizontal="left" vertical="center"/>
    </xf>
    <xf numFmtId="164" fontId="10" fillId="11" borderId="3" applyAlignment="1" pivotButton="0" quotePrefix="0" xfId="0">
      <alignment horizontal="left" vertical="center"/>
    </xf>
    <xf numFmtId="0" fontId="16" fillId="0" borderId="0" pivotButton="0" quotePrefix="0" xfId="0"/>
    <xf numFmtId="0" fontId="12" fillId="12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164" fontId="10" fillId="0" borderId="4" applyAlignment="1" pivotButton="0" quotePrefix="0" xfId="0">
      <alignment horizontal="left" vertical="center"/>
    </xf>
    <xf numFmtId="0" fontId="10" fillId="7" borderId="4" applyAlignment="1" pivotButton="0" quotePrefix="0" xfId="0">
      <alignment horizontal="left" vertical="center"/>
    </xf>
    <xf numFmtId="9" fontId="10" fillId="7" borderId="4" applyAlignment="1" pivotButton="0" quotePrefix="0" xfId="0">
      <alignment horizontal="right" vertical="center"/>
    </xf>
    <xf numFmtId="0" fontId="10" fillId="13" borderId="4" applyAlignment="1" pivotButton="0" quotePrefix="0" xfId="0">
      <alignment horizontal="left" vertical="center"/>
    </xf>
    <xf numFmtId="164" fontId="10" fillId="13" borderId="4" applyAlignment="1" pivotButton="0" quotePrefix="0" xfId="0">
      <alignment horizontal="lef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3246B"/>
    <outlinePr summaryBelow="1" summaryRight="1"/>
    <pageSetUpPr/>
  </sheetPr>
  <dimension ref="A2:R45"/>
  <sheetViews>
    <sheetView showGridLines="0" workbookViewId="0">
      <pane xSplit="3" ySplit="8" topLeftCell="D9" activePane="bottomRight" state="frozen"/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31" customWidth="1" min="4" max="4"/>
    <col width="48" customWidth="1" min="5" max="5"/>
    <col width="19" customWidth="1" min="6" max="6"/>
    <col width="14" customWidth="1" min="7" max="7"/>
    <col width="14" customWidth="1" min="8" max="8"/>
    <col width="22" customWidth="1" min="9" max="9"/>
    <col width="11" customWidth="1" min="10" max="10"/>
    <col width="11" customWidth="1" min="11" max="11"/>
    <col width="43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2">
      <c r="A2" s="2" t="inlineStr">
        <is>
          <t>줍 프로젝트 WBS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4" customHeight="1">
      <c r="A3" s="3" t="inlineStr">
        <is>
          <t>계획 시작</t>
        </is>
      </c>
      <c r="B3" s="32" t="n">
        <v>46294</v>
      </c>
      <c r="C3" s="1" t="n"/>
      <c r="D3" s="3" t="inlineStr">
        <is>
          <t>MVP 완료 목표</t>
        </is>
      </c>
      <c r="E3" s="32" t="n">
        <v>46332</v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24" customHeight="1">
      <c r="A4" s="3" t="inlineStr">
        <is>
          <t>진행 중</t>
        </is>
      </c>
      <c r="B4" s="1">
        <f>COUNTIF(J9:J45,"진행중")+COUNTIF('그래프DB 일정'!J9:J16,"진행중")</f>
        <v/>
      </c>
      <c r="C4" s="1" t="n"/>
      <c r="D4" s="3" t="inlineStr">
        <is>
          <t>완료</t>
        </is>
      </c>
      <c r="E4" s="1">
        <f>COUNTIF(J9:J45,"완료")+COUNTIF('그래프DB 일정'!J9:J16,"완료")</f>
        <v/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24" customHeight="1">
      <c r="A5" s="3" t="inlineStr">
        <is>
          <t>전체 진행률</t>
        </is>
      </c>
      <c r="B5" s="33">
        <f>AVERAGE(K9:K45,'그래프DB 일정'!K9:K16)</f>
        <v/>
      </c>
      <c r="C5" s="1" t="n"/>
      <c r="D5" s="3" t="inlineStr">
        <is>
          <t>계획 항목</t>
        </is>
      </c>
      <c r="E5" s="1">
        <f>COUNTA(A9:A45)+COUNTA('그래프DB 일정'!A9:A16)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4" t="inlineStr">
        <is>
          <t>핵심 흐름: 메인→로그인→첫 로그인 사용자만 튜토리얼 1회→관심종목→관계 그래프→노드 상세→메인. 재방문은 메인으로 직행. 뉴스 자동 수집·영향 분석 포함.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 ht="30" customHeight="1">
      <c r="A8" s="8" t="inlineStr">
        <is>
          <t>WBS</t>
        </is>
      </c>
      <c r="B8" s="8" t="inlineStr">
        <is>
          <t>구분</t>
        </is>
      </c>
      <c r="C8" s="8" t="inlineStr">
        <is>
          <t>단계</t>
        </is>
      </c>
      <c r="D8" s="8" t="inlineStr">
        <is>
          <t>작업</t>
        </is>
      </c>
      <c r="E8" s="8" t="inlineStr">
        <is>
          <t>완료 기준</t>
        </is>
      </c>
      <c r="F8" s="8" t="inlineStr">
        <is>
          <t>담당 역할</t>
        </is>
      </c>
      <c r="G8" s="8" t="inlineStr">
        <is>
          <t>시작일</t>
        </is>
      </c>
      <c r="H8" s="8" t="inlineStr">
        <is>
          <t>종료일</t>
        </is>
      </c>
      <c r="I8" s="8" t="inlineStr">
        <is>
          <t>참조·의존</t>
        </is>
      </c>
      <c r="J8" s="8" t="inlineStr">
        <is>
          <t>상태</t>
        </is>
      </c>
      <c r="K8" s="8" t="inlineStr">
        <is>
          <t>진행률</t>
        </is>
      </c>
      <c r="L8" s="8" t="inlineStr">
        <is>
          <t>위험·비고</t>
        </is>
      </c>
      <c r="M8" s="34" t="n">
        <v>46293</v>
      </c>
      <c r="N8" s="34" t="n">
        <v>46301</v>
      </c>
      <c r="O8" s="34" t="n">
        <v>46307</v>
      </c>
      <c r="P8" s="34" t="n">
        <v>46314</v>
      </c>
      <c r="Q8" s="34" t="n">
        <v>46321</v>
      </c>
      <c r="R8" s="34" t="n">
        <v>46328</v>
      </c>
    </row>
    <row r="9" ht="27" customHeight="1">
      <c r="A9" s="9" t="inlineStr">
        <is>
          <t>1.1</t>
        </is>
      </c>
      <c r="B9" s="9" t="inlineStr">
        <is>
          <t>작업</t>
        </is>
      </c>
      <c r="C9" s="9" t="inlineStr">
        <is>
          <t>범위 확정</t>
        </is>
      </c>
      <c r="D9" s="9" t="inlineStr">
        <is>
          <t>MVP 기능·제약 확정</t>
        </is>
      </c>
      <c r="E9" s="9" t="inlineStr">
        <is>
          <t>로그인·최초 1회 튜토리얼·관심종목 그래프/노드 상세·mock 계좌·뉴스 자동 수집/분석 범위 확정</t>
        </is>
      </c>
      <c r="F9" s="9" t="inlineStr">
        <is>
          <t>B1</t>
        </is>
      </c>
      <c r="G9" s="35" t="n">
        <v>46294</v>
      </c>
      <c r="H9" s="35" t="n">
        <v>46297</v>
      </c>
      <c r="I9" s="9" t="inlineStr"/>
      <c r="J9" s="17" t="inlineStr">
        <is>
          <t>예정</t>
        </is>
      </c>
      <c r="K9" s="36" t="n">
        <v>0</v>
      </c>
      <c r="L9" s="9" t="inlineStr">
        <is>
          <t>계좌 기능은 가상계좌 mock 데이터로 한정</t>
        </is>
      </c>
      <c r="M9" s="16">
        <f>IF(AND($G9&lt;=N$8-1,$H9&gt;=M$8),"X","")</f>
        <v/>
      </c>
      <c r="N9" s="16">
        <f>IF(AND($G9&lt;=O$8-1,$H9&gt;=N$8),"X","")</f>
        <v/>
      </c>
      <c r="O9" s="16">
        <f>IF(AND($G9&lt;=P$8-1,$H9&gt;=O$8),"X","")</f>
        <v/>
      </c>
      <c r="P9" s="16">
        <f>IF(AND($G9&lt;=Q$8-1,$H9&gt;=P$8),"X","")</f>
        <v/>
      </c>
      <c r="Q9" s="16">
        <f>IF(AND($G9&lt;=R$8-1,$H9&gt;=Q$8),"X","")</f>
        <v/>
      </c>
      <c r="R9" s="16">
        <f>IF(AND($G9&lt;=R$8+4,$H9&gt;=R$8),"X","")</f>
        <v/>
      </c>
    </row>
    <row r="10" ht="27" customHeight="1">
      <c r="A10" s="19" t="inlineStr">
        <is>
          <t>1.2</t>
        </is>
      </c>
      <c r="B10" s="19" t="inlineStr">
        <is>
          <t>작업</t>
        </is>
      </c>
      <c r="C10" s="19" t="inlineStr">
        <is>
          <t>범위 확정</t>
        </is>
      </c>
      <c r="D10" s="19" t="inlineStr">
        <is>
          <t>최초·재방문 사용자 흐름 확정</t>
        </is>
      </c>
      <c r="E10" s="19" t="inlineStr">
        <is>
          <t>메인→로그인→첫 사용자 튜토리얼, 재방문 메인 직행, 오류 분기 확정</t>
        </is>
      </c>
      <c r="F10" s="19" t="inlineStr">
        <is>
          <t>B5</t>
        </is>
      </c>
      <c r="G10" s="37" t="n">
        <v>46294</v>
      </c>
      <c r="H10" s="37" t="n">
        <v>46296</v>
      </c>
      <c r="I10" s="19" t="inlineStr"/>
      <c r="J10" s="17" t="inlineStr">
        <is>
          <t>예정</t>
        </is>
      </c>
      <c r="K10" s="36" t="n">
        <v>0</v>
      </c>
      <c r="L10" s="9" t="inlineStr">
        <is>
          <t>로그인 전 메인과 로그인 후 개인화 메인의 상태 구분</t>
        </is>
      </c>
      <c r="M10" s="16">
        <f>IF(AND($G10&lt;=N$8-1,$H10&gt;=M$8),"X","")</f>
        <v/>
      </c>
      <c r="N10" s="16">
        <f>IF(AND($G10&lt;=O$8-1,$H10&gt;=N$8),"X","")</f>
        <v/>
      </c>
      <c r="O10" s="16">
        <f>IF(AND($G10&lt;=P$8-1,$H10&gt;=O$8),"X","")</f>
        <v/>
      </c>
      <c r="P10" s="16">
        <f>IF(AND($G10&lt;=Q$8-1,$H10&gt;=P$8),"X","")</f>
        <v/>
      </c>
      <c r="Q10" s="16">
        <f>IF(AND($G10&lt;=R$8-1,$H10&gt;=Q$8),"X","")</f>
        <v/>
      </c>
      <c r="R10" s="16">
        <f>IF(AND($G10&lt;=R$8+4,$H10&gt;=R$8),"X","")</f>
        <v/>
      </c>
    </row>
    <row r="11" ht="27" customHeight="1">
      <c r="A11" s="9" t="inlineStr">
        <is>
          <t>1.3</t>
        </is>
      </c>
      <c r="B11" s="9" t="inlineStr">
        <is>
          <t>작업</t>
        </is>
      </c>
      <c r="C11" s="9" t="inlineStr">
        <is>
          <t>범위 확정</t>
        </is>
      </c>
      <c r="D11" s="9" t="inlineStr">
        <is>
          <t>화면·API 계약 초안</t>
        </is>
      </c>
      <c r="E11" s="9" t="inlineStr">
        <is>
          <t>로그인 후 튜토리얼 분기·관심종목·그래프·노드 상세 API 계약</t>
        </is>
      </c>
      <c r="F11" s="9" t="inlineStr">
        <is>
          <t>B4</t>
        </is>
      </c>
      <c r="G11" s="35" t="n">
        <v>46295</v>
      </c>
      <c r="H11" s="35" t="n">
        <v>46297</v>
      </c>
      <c r="I11" s="9" t="inlineStr">
        <is>
          <t>1.2</t>
        </is>
      </c>
      <c r="J11" s="17" t="inlineStr">
        <is>
          <t>예정</t>
        </is>
      </c>
      <c r="K11" s="36" t="n">
        <v>0</v>
      </c>
      <c r="L11" s="9" t="inlineStr">
        <is>
          <t>B4가 화면별 API 계약 초안, B1·F1 검토</t>
        </is>
      </c>
      <c r="M11" s="16">
        <f>IF(AND($G11&lt;=N$8-1,$H11&gt;=M$8),"X","")</f>
        <v/>
      </c>
      <c r="N11" s="16">
        <f>IF(AND($G11&lt;=O$8-1,$H11&gt;=N$8),"X","")</f>
        <v/>
      </c>
      <c r="O11" s="16">
        <f>IF(AND($G11&lt;=P$8-1,$H11&gt;=O$8),"X","")</f>
        <v/>
      </c>
      <c r="P11" s="16">
        <f>IF(AND($G11&lt;=Q$8-1,$H11&gt;=P$8),"X","")</f>
        <v/>
      </c>
      <c r="Q11" s="16">
        <f>IF(AND($G11&lt;=R$8-1,$H11&gt;=Q$8),"X","")</f>
        <v/>
      </c>
      <c r="R11" s="16">
        <f>IF(AND($G11&lt;=R$8+4,$H11&gt;=R$8),"X","")</f>
        <v/>
      </c>
    </row>
    <row r="12" ht="27" customHeight="1">
      <c r="A12" s="19" t="inlineStr">
        <is>
          <t>1.4</t>
        </is>
      </c>
      <c r="B12" s="19" t="inlineStr">
        <is>
          <t>작업</t>
        </is>
      </c>
      <c r="C12" s="19" t="inlineStr">
        <is>
          <t>범위 확정</t>
        </is>
      </c>
      <c r="D12" s="19" t="inlineStr">
        <is>
          <t>가상계좌 mock 범위 확정</t>
        </is>
      </c>
      <c r="E12" s="19" t="inlineStr">
        <is>
          <t>가상계좌 잔고·보유종목·거래내역 mock 필드와 샘플 데이터 확정</t>
        </is>
      </c>
      <c r="F12" s="19" t="inlineStr">
        <is>
          <t>B3</t>
        </is>
      </c>
      <c r="G12" s="37" t="n">
        <v>46295</v>
      </c>
      <c r="H12" s="37" t="n">
        <v>46297</v>
      </c>
      <c r="I12" s="19" t="inlineStr"/>
      <c r="J12" s="17" t="inlineStr">
        <is>
          <t>예정</t>
        </is>
      </c>
      <c r="K12" s="36" t="n">
        <v>0</v>
      </c>
      <c r="L12" s="9" t="inlineStr">
        <is>
          <t>B3가 mock 데이터 설계, B4 계좌 API에 인계</t>
        </is>
      </c>
      <c r="M12" s="16">
        <f>IF(AND($G12&lt;=N$8-1,$H12&gt;=M$8),"X","")</f>
        <v/>
      </c>
      <c r="N12" s="16">
        <f>IF(AND($G12&lt;=O$8-1,$H12&gt;=N$8),"X","")</f>
        <v/>
      </c>
      <c r="O12" s="16">
        <f>IF(AND($G12&lt;=P$8-1,$H12&gt;=O$8),"X","")</f>
        <v/>
      </c>
      <c r="P12" s="16">
        <f>IF(AND($G12&lt;=Q$8-1,$H12&gt;=P$8),"X","")</f>
        <v/>
      </c>
      <c r="Q12" s="16">
        <f>IF(AND($G12&lt;=R$8-1,$H12&gt;=Q$8),"X","")</f>
        <v/>
      </c>
      <c r="R12" s="16">
        <f>IF(AND($G12&lt;=R$8+4,$H12&gt;=R$8),"X","")</f>
        <v/>
      </c>
    </row>
    <row r="13" ht="27" customHeight="1">
      <c r="A13" s="25" t="inlineStr">
        <is>
          <t>M1</t>
        </is>
      </c>
      <c r="B13" s="25" t="inlineStr">
        <is>
          <t>마일스톤</t>
        </is>
      </c>
      <c r="C13" s="25" t="inlineStr">
        <is>
          <t>범위 확정</t>
        </is>
      </c>
      <c r="D13" s="25" t="inlineStr">
        <is>
          <t>MVP 범위 승인</t>
        </is>
      </c>
      <c r="E13" s="25" t="inlineStr">
        <is>
          <t>mock 데이터 범위 포함 개발 범위·완료 기준 합의</t>
        </is>
      </c>
      <c r="F13" s="25" t="inlineStr">
        <is>
          <t>전체</t>
        </is>
      </c>
      <c r="G13" s="38" t="n">
        <v>46297</v>
      </c>
      <c r="H13" s="38" t="n">
        <v>46297</v>
      </c>
      <c r="I13" s="25" t="inlineStr">
        <is>
          <t>1.1, 1.3, 1.4</t>
        </is>
      </c>
      <c r="J13" s="25" t="inlineStr">
        <is>
          <t>예정</t>
        </is>
      </c>
      <c r="K13" s="39" t="n">
        <v>0</v>
      </c>
      <c r="L13" s="25" t="inlineStr"/>
      <c r="M13" s="24">
        <f>IF(AND($G13&lt;=N$8-1,$H13&gt;=M$8),"X","")</f>
        <v/>
      </c>
      <c r="N13" s="24">
        <f>IF(AND($G13&lt;=O$8-1,$H13&gt;=N$8),"X","")</f>
        <v/>
      </c>
      <c r="O13" s="24">
        <f>IF(AND($G13&lt;=P$8-1,$H13&gt;=O$8),"X","")</f>
        <v/>
      </c>
      <c r="P13" s="24">
        <f>IF(AND($G13&lt;=Q$8-1,$H13&gt;=P$8),"X","")</f>
        <v/>
      </c>
      <c r="Q13" s="24">
        <f>IF(AND($G13&lt;=R$8-1,$H13&gt;=Q$8),"X","")</f>
        <v/>
      </c>
      <c r="R13" s="24">
        <f>IF(AND($G13&lt;=R$8+4,$H13&gt;=R$8),"X","")</f>
        <v/>
      </c>
    </row>
    <row r="14" ht="27" customHeight="1">
      <c r="A14" s="19" t="inlineStr">
        <is>
          <t>2.1</t>
        </is>
      </c>
      <c r="B14" s="19" t="inlineStr">
        <is>
          <t>작업</t>
        </is>
      </c>
      <c r="C14" s="19" t="inlineStr">
        <is>
          <t>화면 설계</t>
        </is>
      </c>
      <c r="D14" s="19" t="inlineStr">
        <is>
          <t>정보 구조·흐름 와이어프레임</t>
        </is>
      </c>
      <c r="E14" s="19" t="inlineStr">
        <is>
          <t>로그인 전 메인·첫 방문 튜토리얼·노드 상세·개인화 메인 화면 구조</t>
        </is>
      </c>
      <c r="F14" s="19" t="inlineStr">
        <is>
          <t>B5</t>
        </is>
      </c>
      <c r="G14" s="37" t="n">
        <v>46295</v>
      </c>
      <c r="H14" s="37" t="n">
        <v>46302</v>
      </c>
      <c r="I14" s="19" t="inlineStr">
        <is>
          <t>1.2</t>
        </is>
      </c>
      <c r="J14" s="17" t="inlineStr">
        <is>
          <t>예정</t>
        </is>
      </c>
      <c r="K14" s="36" t="n">
        <v>0</v>
      </c>
      <c r="L14" s="9" t="inlineStr">
        <is>
          <t>B5가 와이어프레임 작성, F1 검토</t>
        </is>
      </c>
      <c r="M14" s="16">
        <f>IF(AND($G14&lt;=N$8-1,$H14&gt;=M$8),"X","")</f>
        <v/>
      </c>
      <c r="N14" s="16">
        <f>IF(AND($G14&lt;=O$8-1,$H14&gt;=N$8),"X","")</f>
        <v/>
      </c>
      <c r="O14" s="16">
        <f>IF(AND($G14&lt;=P$8-1,$H14&gt;=O$8),"X","")</f>
        <v/>
      </c>
      <c r="P14" s="16">
        <f>IF(AND($G14&lt;=Q$8-1,$H14&gt;=P$8),"X","")</f>
        <v/>
      </c>
      <c r="Q14" s="16">
        <f>IF(AND($G14&lt;=R$8-1,$H14&gt;=Q$8),"X","")</f>
        <v/>
      </c>
      <c r="R14" s="16">
        <f>IF(AND($G14&lt;=R$8+4,$H14&gt;=R$8),"X","")</f>
        <v/>
      </c>
    </row>
    <row r="15" ht="27" customHeight="1">
      <c r="A15" s="9" t="inlineStr">
        <is>
          <t>2.2</t>
        </is>
      </c>
      <c r="B15" s="9" t="inlineStr">
        <is>
          <t>작업</t>
        </is>
      </c>
      <c r="C15" s="9" t="inlineStr">
        <is>
          <t>화면 설계</t>
        </is>
      </c>
      <c r="D15" s="9" t="inlineStr">
        <is>
          <t>UI 규칙·컴포넌트 정의</t>
        </is>
      </c>
      <c r="E15" s="9" t="inlineStr">
        <is>
          <t>색·글자·버튼·입력·알림·상태별 규칙</t>
        </is>
      </c>
      <c r="F15" s="9" t="inlineStr">
        <is>
          <t>F1</t>
        </is>
      </c>
      <c r="G15" s="35" t="n">
        <v>46301</v>
      </c>
      <c r="H15" s="35" t="n">
        <v>46303</v>
      </c>
      <c r="I15" s="9" t="inlineStr">
        <is>
          <t>2.1</t>
        </is>
      </c>
      <c r="J15" s="17" t="inlineStr">
        <is>
          <t>예정</t>
        </is>
      </c>
      <c r="K15" s="36" t="n">
        <v>0</v>
      </c>
      <c r="L15" s="9" t="inlineStr">
        <is>
          <t>F1이 재사용 UI 규칙 작성, B5 리뷰</t>
        </is>
      </c>
      <c r="M15" s="16">
        <f>IF(AND($G15&lt;=N$8-1,$H15&gt;=M$8),"X","")</f>
        <v/>
      </c>
      <c r="N15" s="16">
        <f>IF(AND($G15&lt;=O$8-1,$H15&gt;=N$8),"X","")</f>
        <v/>
      </c>
      <c r="O15" s="16">
        <f>IF(AND($G15&lt;=P$8-1,$H15&gt;=O$8),"X","")</f>
        <v/>
      </c>
      <c r="P15" s="16">
        <f>IF(AND($G15&lt;=Q$8-1,$H15&gt;=P$8),"X","")</f>
        <v/>
      </c>
      <c r="Q15" s="16">
        <f>IF(AND($G15&lt;=R$8-1,$H15&gt;=Q$8),"X","")</f>
        <v/>
      </c>
      <c r="R15" s="16">
        <f>IF(AND($G15&lt;=R$8+4,$H15&gt;=R$8),"X","")</f>
        <v/>
      </c>
    </row>
    <row r="16" ht="27" customHeight="1">
      <c r="A16" s="19" t="inlineStr">
        <is>
          <t>2.3</t>
        </is>
      </c>
      <c r="B16" s="19" t="inlineStr">
        <is>
          <t>작업</t>
        </is>
      </c>
      <c r="C16" s="19" t="inlineStr">
        <is>
          <t>화면 설계</t>
        </is>
      </c>
      <c r="D16" s="19" t="inlineStr">
        <is>
          <t>로그인·가입·비회원 화면 디자인</t>
        </is>
      </c>
      <c r="E16" s="19" t="inlineStr">
        <is>
          <t>정상·오류·제한 안내 시안</t>
        </is>
      </c>
      <c r="F16" s="19" t="inlineStr">
        <is>
          <t>F1</t>
        </is>
      </c>
      <c r="G16" s="37" t="n">
        <v>46301</v>
      </c>
      <c r="H16" s="37" t="n">
        <v>46307</v>
      </c>
      <c r="I16" s="19" t="inlineStr">
        <is>
          <t>2.1</t>
        </is>
      </c>
      <c r="J16" s="17" t="inlineStr">
        <is>
          <t>예정</t>
        </is>
      </c>
      <c r="K16" s="36" t="n">
        <v>0</v>
      </c>
      <c r="L16" s="9" t="inlineStr">
        <is>
          <t>F1 주도, B1 인증 상태 검토</t>
        </is>
      </c>
      <c r="M16" s="16">
        <f>IF(AND($G16&lt;=N$8-1,$H16&gt;=M$8),"X","")</f>
        <v/>
      </c>
      <c r="N16" s="16">
        <f>IF(AND($G16&lt;=O$8-1,$H16&gt;=N$8),"X","")</f>
        <v/>
      </c>
      <c r="O16" s="16">
        <f>IF(AND($G16&lt;=P$8-1,$H16&gt;=O$8),"X","")</f>
        <v/>
      </c>
      <c r="P16" s="16">
        <f>IF(AND($G16&lt;=Q$8-1,$H16&gt;=P$8),"X","")</f>
        <v/>
      </c>
      <c r="Q16" s="16">
        <f>IF(AND($G16&lt;=R$8-1,$H16&gt;=Q$8),"X","")</f>
        <v/>
      </c>
      <c r="R16" s="16">
        <f>IF(AND($G16&lt;=R$8+4,$H16&gt;=R$8),"X","")</f>
        <v/>
      </c>
    </row>
    <row r="17" ht="27" customHeight="1">
      <c r="A17" s="9" t="inlineStr">
        <is>
          <t>2.4</t>
        </is>
      </c>
      <c r="B17" s="9" t="inlineStr">
        <is>
          <t>작업</t>
        </is>
      </c>
      <c r="C17" s="9" t="inlineStr">
        <is>
          <t>화면 설계</t>
        </is>
      </c>
      <c r="D17" s="9" t="inlineStr">
        <is>
          <t>튜토리얼·노드 상세 화면 설계</t>
        </is>
      </c>
      <c r="E17" s="9" t="inlineStr">
        <is>
          <t>관심종목 선택→그래프 표시→노드 클릭→상세 확인→메인 이동 시안</t>
        </is>
      </c>
      <c r="F17" s="9" t="inlineStr">
        <is>
          <t>B3</t>
        </is>
      </c>
      <c r="G17" s="35" t="n">
        <v>46302</v>
      </c>
      <c r="H17" s="35" t="n">
        <v>46308</v>
      </c>
      <c r="I17" s="9" t="inlineStr">
        <is>
          <t>2.1, 2.2</t>
        </is>
      </c>
      <c r="J17" s="17" t="inlineStr">
        <is>
          <t>예정</t>
        </is>
      </c>
      <c r="K17" s="36" t="n">
        <v>0</v>
      </c>
      <c r="L17" s="9" t="inlineStr">
        <is>
          <t>관심종목 선택부터 노드 상세까지 실제 기능을 체험하는 순서</t>
        </is>
      </c>
      <c r="M17" s="16">
        <f>IF(AND($G17&lt;=N$8-1,$H17&gt;=M$8),"X","")</f>
        <v/>
      </c>
      <c r="N17" s="16">
        <f>IF(AND($G17&lt;=O$8-1,$H17&gt;=N$8),"X","")</f>
        <v/>
      </c>
      <c r="O17" s="16">
        <f>IF(AND($G17&lt;=P$8-1,$H17&gt;=O$8),"X","")</f>
        <v/>
      </c>
      <c r="P17" s="16">
        <f>IF(AND($G17&lt;=Q$8-1,$H17&gt;=P$8),"X","")</f>
        <v/>
      </c>
      <c r="Q17" s="16">
        <f>IF(AND($G17&lt;=R$8-1,$H17&gt;=Q$8),"X","")</f>
        <v/>
      </c>
      <c r="R17" s="16">
        <f>IF(AND($G17&lt;=R$8+4,$H17&gt;=R$8),"X","")</f>
        <v/>
      </c>
    </row>
    <row r="18" ht="27" customHeight="1">
      <c r="A18" s="19" t="inlineStr">
        <is>
          <t>2.5</t>
        </is>
      </c>
      <c r="B18" s="19" t="inlineStr">
        <is>
          <t>작업</t>
        </is>
      </c>
      <c r="C18" s="19" t="inlineStr">
        <is>
          <t>화면 설계</t>
        </is>
      </c>
      <c r="D18" s="19" t="inlineStr">
        <is>
          <t>개인화 메인·반응형 설계</t>
        </is>
      </c>
      <c r="E18" s="19" t="inlineStr">
        <is>
          <t>관심종목 연결 그래프·내 종목 관련 노드/뉴스·모바일 시안</t>
        </is>
      </c>
      <c r="F18" s="19" t="inlineStr">
        <is>
          <t>B2</t>
        </is>
      </c>
      <c r="G18" s="37" t="n">
        <v>46303</v>
      </c>
      <c r="H18" s="37" t="n">
        <v>46308</v>
      </c>
      <c r="I18" s="19" t="inlineStr">
        <is>
          <t>2.1, 2.2</t>
        </is>
      </c>
      <c r="J18" s="17" t="inlineStr">
        <is>
          <t>예정</t>
        </is>
      </c>
      <c r="K18" s="36" t="n">
        <v>0</v>
      </c>
      <c r="L18" s="9" t="inlineStr">
        <is>
          <t>B2가 그래프·메인 데이터 표시 설계, B5 화면 구현에 인계</t>
        </is>
      </c>
      <c r="M18" s="16">
        <f>IF(AND($G18&lt;=N$8-1,$H18&gt;=M$8),"X","")</f>
        <v/>
      </c>
      <c r="N18" s="16">
        <f>IF(AND($G18&lt;=O$8-1,$H18&gt;=N$8),"X","")</f>
        <v/>
      </c>
      <c r="O18" s="16">
        <f>IF(AND($G18&lt;=P$8-1,$H18&gt;=O$8),"X","")</f>
        <v/>
      </c>
      <c r="P18" s="16">
        <f>IF(AND($G18&lt;=Q$8-1,$H18&gt;=P$8),"X","")</f>
        <v/>
      </c>
      <c r="Q18" s="16">
        <f>IF(AND($G18&lt;=R$8-1,$H18&gt;=Q$8),"X","")</f>
        <v/>
      </c>
      <c r="R18" s="16">
        <f>IF(AND($G18&lt;=R$8+4,$H18&gt;=R$8),"X","")</f>
        <v/>
      </c>
    </row>
    <row r="19" ht="27" customHeight="1">
      <c r="A19" s="25" t="inlineStr">
        <is>
          <t>M2</t>
        </is>
      </c>
      <c r="B19" s="25" t="inlineStr">
        <is>
          <t>마일스톤</t>
        </is>
      </c>
      <c r="C19" s="25" t="inlineStr">
        <is>
          <t>화면 설계</t>
        </is>
      </c>
      <c r="D19" s="25" t="inlineStr">
        <is>
          <t>핵심 화면 승인</t>
        </is>
      </c>
      <c r="E19" s="25" t="inlineStr">
        <is>
          <t>화면·상태·인터랙션 개발 인계</t>
        </is>
      </c>
      <c r="F19" s="25" t="inlineStr">
        <is>
          <t>전체</t>
        </is>
      </c>
      <c r="G19" s="38" t="n">
        <v>46308</v>
      </c>
      <c r="H19" s="38" t="n">
        <v>46308</v>
      </c>
      <c r="I19" s="25" t="inlineStr">
        <is>
          <t>2.3, 2.4, 2.5</t>
        </is>
      </c>
      <c r="J19" s="25" t="inlineStr">
        <is>
          <t>예정</t>
        </is>
      </c>
      <c r="K19" s="39" t="n">
        <v>0</v>
      </c>
      <c r="L19" s="25" t="inlineStr">
        <is>
          <t>F1·B2·B3·B5 화면 합동 검토</t>
        </is>
      </c>
      <c r="M19" s="24">
        <f>IF(AND($G19&lt;=N$8-1,$H19&gt;=M$8),"X","")</f>
        <v/>
      </c>
      <c r="N19" s="24">
        <f>IF(AND($G19&lt;=O$8-1,$H19&gt;=N$8),"X","")</f>
        <v/>
      </c>
      <c r="O19" s="24">
        <f>IF(AND($G19&lt;=P$8-1,$H19&gt;=O$8),"X","")</f>
        <v/>
      </c>
      <c r="P19" s="24">
        <f>IF(AND($G19&lt;=Q$8-1,$H19&gt;=P$8),"X","")</f>
        <v/>
      </c>
      <c r="Q19" s="24">
        <f>IF(AND($G19&lt;=R$8-1,$H19&gt;=Q$8),"X","")</f>
        <v/>
      </c>
      <c r="R19" s="24">
        <f>IF(AND($G19&lt;=R$8+4,$H19&gt;=R$8),"X","")</f>
        <v/>
      </c>
    </row>
    <row r="20" ht="27" customHeight="1">
      <c r="A20" s="19" t="inlineStr">
        <is>
          <t>3.1</t>
        </is>
      </c>
      <c r="B20" s="19" t="inlineStr">
        <is>
          <t>작업</t>
        </is>
      </c>
      <c r="C20" s="19" t="inlineStr">
        <is>
          <t>개발 기반</t>
        </is>
      </c>
      <c r="D20" s="19" t="inlineStr">
        <is>
          <t>프로젝트·배포 환경 준비</t>
        </is>
      </c>
      <c r="E20" s="19" t="inlineStr">
        <is>
          <t>저장소·개발/스테이징 환경·빌드 실행</t>
        </is>
      </c>
      <c r="F20" s="19" t="inlineStr">
        <is>
          <t>A1</t>
        </is>
      </c>
      <c r="G20" s="37" t="n">
        <v>46296</v>
      </c>
      <c r="H20" s="37" t="n">
        <v>46302</v>
      </c>
      <c r="I20" s="19" t="inlineStr"/>
      <c r="J20" s="17" t="inlineStr">
        <is>
          <t>예정</t>
        </is>
      </c>
      <c r="K20" s="36" t="n">
        <v>0</v>
      </c>
      <c r="L20" s="9" t="inlineStr">
        <is>
          <t>A1 주도, B1 개발환경 연결 지원</t>
        </is>
      </c>
      <c r="M20" s="16">
        <f>IF(AND($G20&lt;=N$8-1,$H20&gt;=M$8),"X","")</f>
        <v/>
      </c>
      <c r="N20" s="16">
        <f>IF(AND($G20&lt;=O$8-1,$H20&gt;=N$8),"X","")</f>
        <v/>
      </c>
      <c r="O20" s="16">
        <f>IF(AND($G20&lt;=P$8-1,$H20&gt;=O$8),"X","")</f>
        <v/>
      </c>
      <c r="P20" s="16">
        <f>IF(AND($G20&lt;=Q$8-1,$H20&gt;=P$8),"X","")</f>
        <v/>
      </c>
      <c r="Q20" s="16">
        <f>IF(AND($G20&lt;=R$8-1,$H20&gt;=Q$8),"X","")</f>
        <v/>
      </c>
      <c r="R20" s="16">
        <f>IF(AND($G20&lt;=R$8+4,$H20&gt;=R$8),"X","")</f>
        <v/>
      </c>
    </row>
    <row r="21" ht="27" customHeight="1">
      <c r="A21" s="9" t="inlineStr">
        <is>
          <t>3.2</t>
        </is>
      </c>
      <c r="B21" s="9" t="inlineStr">
        <is>
          <t>작업</t>
        </is>
      </c>
      <c r="C21" s="9" t="inlineStr">
        <is>
          <t>개발 기반</t>
        </is>
      </c>
      <c r="D21" s="9" t="inlineStr">
        <is>
          <t>회원·설정 데이터 구조</t>
        </is>
      </c>
      <c r="E21" s="9" t="inlineStr">
        <is>
          <t>계정·관심종목·최초 튜토리얼 완료 여부와 완료 시각 저장 구조</t>
        </is>
      </c>
      <c r="F21" s="9" t="inlineStr">
        <is>
          <t>B1</t>
        </is>
      </c>
      <c r="G21" s="35" t="n">
        <v>46301</v>
      </c>
      <c r="H21" s="35" t="n">
        <v>46303</v>
      </c>
      <c r="I21" s="9" t="inlineStr">
        <is>
          <t>1.3</t>
        </is>
      </c>
      <c r="J21" s="17" t="inlineStr">
        <is>
          <t>예정</t>
        </is>
      </c>
      <c r="K21" s="36" t="n">
        <v>0</v>
      </c>
      <c r="L21" s="9" t="inlineStr"/>
      <c r="M21" s="16">
        <f>IF(AND($G21&lt;=N$8-1,$H21&gt;=M$8),"X","")</f>
        <v/>
      </c>
      <c r="N21" s="16">
        <f>IF(AND($G21&lt;=O$8-1,$H21&gt;=N$8),"X","")</f>
        <v/>
      </c>
      <c r="O21" s="16">
        <f>IF(AND($G21&lt;=P$8-1,$H21&gt;=O$8),"X","")</f>
        <v/>
      </c>
      <c r="P21" s="16">
        <f>IF(AND($G21&lt;=Q$8-1,$H21&gt;=P$8),"X","")</f>
        <v/>
      </c>
      <c r="Q21" s="16">
        <f>IF(AND($G21&lt;=R$8-1,$H21&gt;=Q$8),"X","")</f>
        <v/>
      </c>
      <c r="R21" s="16">
        <f>IF(AND($G21&lt;=R$8+4,$H21&gt;=R$8),"X","")</f>
        <v/>
      </c>
    </row>
    <row r="22" ht="27" customHeight="1">
      <c r="A22" s="19" t="inlineStr">
        <is>
          <t>3.3</t>
        </is>
      </c>
      <c r="B22" s="19" t="inlineStr">
        <is>
          <t>작업</t>
        </is>
      </c>
      <c r="C22" s="19" t="inlineStr">
        <is>
          <t>개발 기반</t>
        </is>
      </c>
      <c r="D22" s="19" t="inlineStr">
        <is>
          <t>가상계좌·질문 예시 데이터 준비</t>
        </is>
      </c>
      <c r="E22" s="19" t="inlineStr">
        <is>
          <t>가상계좌·AI 질문 예시 답변 데이터 준비. 뉴스는 자동 수집·분석 일정에서 별도 구축</t>
        </is>
      </c>
      <c r="F22" s="19" t="inlineStr">
        <is>
          <t>A1</t>
        </is>
      </c>
      <c r="G22" s="37" t="n">
        <v>46302</v>
      </c>
      <c r="H22" s="37" t="n">
        <v>46308</v>
      </c>
      <c r="I22" s="19" t="inlineStr">
        <is>
          <t>1.3</t>
        </is>
      </c>
      <c r="J22" s="17" t="inlineStr">
        <is>
          <t>예정</t>
        </is>
      </c>
      <c r="K22" s="36" t="n">
        <v>0</v>
      </c>
      <c r="L22" s="9" t="inlineStr">
        <is>
          <t>AI 질문은 예시 답변. 뉴스 영향 분석은 N6~N7에서 실제 자동 처리</t>
        </is>
      </c>
      <c r="M22" s="16">
        <f>IF(AND($G22&lt;=N$8-1,$H22&gt;=M$8),"X","")</f>
        <v/>
      </c>
      <c r="N22" s="16">
        <f>IF(AND($G22&lt;=O$8-1,$H22&gt;=N$8),"X","")</f>
        <v/>
      </c>
      <c r="O22" s="16">
        <f>IF(AND($G22&lt;=P$8-1,$H22&gt;=O$8),"X","")</f>
        <v/>
      </c>
      <c r="P22" s="16">
        <f>IF(AND($G22&lt;=Q$8-1,$H22&gt;=P$8),"X","")</f>
        <v/>
      </c>
      <c r="Q22" s="16">
        <f>IF(AND($G22&lt;=R$8-1,$H22&gt;=Q$8),"X","")</f>
        <v/>
      </c>
      <c r="R22" s="16">
        <f>IF(AND($G22&lt;=R$8+4,$H22&gt;=R$8),"X","")</f>
        <v/>
      </c>
    </row>
    <row r="23" ht="27" customHeight="1">
      <c r="A23" s="9" t="inlineStr">
        <is>
          <t>4.1</t>
        </is>
      </c>
      <c r="B23" s="9" t="inlineStr">
        <is>
          <t>작업</t>
        </is>
      </c>
      <c r="C23" s="9" t="inlineStr">
        <is>
          <t>백엔드</t>
        </is>
      </c>
      <c r="D23" s="9" t="inlineStr">
        <is>
          <t>회원가입·로그인 API</t>
        </is>
      </c>
      <c r="E23" s="9" t="inlineStr">
        <is>
          <t>가입 검증·아이디 중복·인증 실패 처리</t>
        </is>
      </c>
      <c r="F23" s="9" t="inlineStr">
        <is>
          <t>B1</t>
        </is>
      </c>
      <c r="G23" s="35" t="n">
        <v>46303</v>
      </c>
      <c r="H23" s="35" t="n">
        <v>46311</v>
      </c>
      <c r="I23" s="9" t="inlineStr">
        <is>
          <t>3.1, 3.2</t>
        </is>
      </c>
      <c r="J23" s="17" t="inlineStr">
        <is>
          <t>예정</t>
        </is>
      </c>
      <c r="K23" s="36" t="n">
        <v>0</v>
      </c>
      <c r="L23" s="9" t="inlineStr"/>
      <c r="M23" s="16">
        <f>IF(AND($G23&lt;=N$8-1,$H23&gt;=M$8),"X","")</f>
        <v/>
      </c>
      <c r="N23" s="16">
        <f>IF(AND($G23&lt;=O$8-1,$H23&gt;=N$8),"X","")</f>
        <v/>
      </c>
      <c r="O23" s="16">
        <f>IF(AND($G23&lt;=P$8-1,$H23&gt;=O$8),"X","")</f>
        <v/>
      </c>
      <c r="P23" s="16">
        <f>IF(AND($G23&lt;=Q$8-1,$H23&gt;=P$8),"X","")</f>
        <v/>
      </c>
      <c r="Q23" s="16">
        <f>IF(AND($G23&lt;=R$8-1,$H23&gt;=Q$8),"X","")</f>
        <v/>
      </c>
      <c r="R23" s="16">
        <f>IF(AND($G23&lt;=R$8+4,$H23&gt;=R$8),"X","")</f>
        <v/>
      </c>
    </row>
    <row r="24" ht="27" customHeight="1">
      <c r="A24" s="19" t="inlineStr">
        <is>
          <t>4.2</t>
        </is>
      </c>
      <c r="B24" s="19" t="inlineStr">
        <is>
          <t>작업</t>
        </is>
      </c>
      <c r="C24" s="19" t="inlineStr">
        <is>
          <t>백엔드</t>
        </is>
      </c>
      <c r="D24" s="19" t="inlineStr">
        <is>
          <t>세션·비회원 권한</t>
        </is>
      </c>
      <c r="E24" s="19" t="inlineStr">
        <is>
          <t>비회원 제한 기능과 안내 조건 구현</t>
        </is>
      </c>
      <c r="F24" s="19" t="inlineStr">
        <is>
          <t>B1</t>
        </is>
      </c>
      <c r="G24" s="37" t="n">
        <v>46308</v>
      </c>
      <c r="H24" s="37" t="n">
        <v>46315</v>
      </c>
      <c r="I24" s="19" t="inlineStr">
        <is>
          <t>4.1</t>
        </is>
      </c>
      <c r="J24" s="17" t="inlineStr">
        <is>
          <t>예정</t>
        </is>
      </c>
      <c r="K24" s="36" t="n">
        <v>0</v>
      </c>
      <c r="L24" s="9" t="inlineStr"/>
      <c r="M24" s="16">
        <f>IF(AND($G24&lt;=N$8-1,$H24&gt;=M$8),"X","")</f>
        <v/>
      </c>
      <c r="N24" s="16">
        <f>IF(AND($G24&lt;=O$8-1,$H24&gt;=N$8),"X","")</f>
        <v/>
      </c>
      <c r="O24" s="16">
        <f>IF(AND($G24&lt;=P$8-1,$H24&gt;=O$8),"X","")</f>
        <v/>
      </c>
      <c r="P24" s="16">
        <f>IF(AND($G24&lt;=Q$8-1,$H24&gt;=P$8),"X","")</f>
        <v/>
      </c>
      <c r="Q24" s="16">
        <f>IF(AND($G24&lt;=R$8-1,$H24&gt;=Q$8),"X","")</f>
        <v/>
      </c>
      <c r="R24" s="16">
        <f>IF(AND($G24&lt;=R$8+4,$H24&gt;=R$8),"X","")</f>
        <v/>
      </c>
    </row>
    <row r="25" ht="27" customHeight="1">
      <c r="A25" s="9" t="inlineStr">
        <is>
          <t>4.3</t>
        </is>
      </c>
      <c r="B25" s="9" t="inlineStr">
        <is>
          <t>작업</t>
        </is>
      </c>
      <c r="C25" s="9" t="inlineStr">
        <is>
          <t>백엔드</t>
        </is>
      </c>
      <c r="D25" s="9" t="inlineStr">
        <is>
          <t>가상계좌 데이터 제공 API</t>
        </is>
      </c>
      <c r="E25" s="9" t="inlineStr">
        <is>
          <t>mock 보유종목 목록·계좌 상태 응답</t>
        </is>
      </c>
      <c r="F25" s="9" t="inlineStr">
        <is>
          <t>B4</t>
        </is>
      </c>
      <c r="G25" s="35" t="n">
        <v>46314</v>
      </c>
      <c r="H25" s="35" t="n">
        <v>46318</v>
      </c>
      <c r="I25" s="9" t="inlineStr">
        <is>
          <t>G8, 3.3</t>
        </is>
      </c>
      <c r="J25" s="17" t="inlineStr">
        <is>
          <t>예정</t>
        </is>
      </c>
      <c r="K25" s="36" t="n">
        <v>0</v>
      </c>
      <c r="L25" s="9" t="inlineStr">
        <is>
          <t>G8 인계 이후 B4가 가상계좌 mock API 구현</t>
        </is>
      </c>
      <c r="M25" s="16">
        <f>IF(AND($G25&lt;=N$8-1,$H25&gt;=M$8),"X","")</f>
        <v/>
      </c>
      <c r="N25" s="16">
        <f>IF(AND($G25&lt;=O$8-1,$H25&gt;=N$8),"X","")</f>
        <v/>
      </c>
      <c r="O25" s="16">
        <f>IF(AND($G25&lt;=P$8-1,$H25&gt;=O$8),"X","")</f>
        <v/>
      </c>
      <c r="P25" s="16">
        <f>IF(AND($G25&lt;=Q$8-1,$H25&gt;=P$8),"X","")</f>
        <v/>
      </c>
      <c r="Q25" s="16">
        <f>IF(AND($G25&lt;=R$8-1,$H25&gt;=Q$8),"X","")</f>
        <v/>
      </c>
      <c r="R25" s="16">
        <f>IF(AND($G25&lt;=R$8+4,$H25&gt;=R$8),"X","")</f>
        <v/>
      </c>
    </row>
    <row r="26" ht="27" customHeight="1">
      <c r="A26" s="19" t="inlineStr">
        <is>
          <t>4.4</t>
        </is>
      </c>
      <c r="B26" s="19" t="inlineStr">
        <is>
          <t>작업</t>
        </is>
      </c>
      <c r="C26" s="19" t="inlineStr">
        <is>
          <t>백엔드</t>
        </is>
      </c>
      <c r="D26" s="19" t="inlineStr">
        <is>
          <t>관심종목 검색·저장 API</t>
        </is>
      </c>
      <c r="E26" s="19" t="inlineStr">
        <is>
          <t>튜토리얼에서 관심종목 1개 이상 선택·회원별 저장·재조회</t>
        </is>
      </c>
      <c r="F26" s="19" t="inlineStr">
        <is>
          <t>B4</t>
        </is>
      </c>
      <c r="G26" s="37" t="n">
        <v>46309</v>
      </c>
      <c r="H26" s="37" t="n">
        <v>46318</v>
      </c>
      <c r="I26" s="19" t="inlineStr">
        <is>
          <t>3.2, 3.3</t>
        </is>
      </c>
      <c r="J26" s="17" t="inlineStr">
        <is>
          <t>예정</t>
        </is>
      </c>
      <c r="K26" s="36" t="n">
        <v>0</v>
      </c>
      <c r="L26" s="9" t="inlineStr">
        <is>
          <t>B4 주도, B1이 사용자별 저장 규칙 검토</t>
        </is>
      </c>
      <c r="M26" s="16">
        <f>IF(AND($G26&lt;=N$8-1,$H26&gt;=M$8),"X","")</f>
        <v/>
      </c>
      <c r="N26" s="16">
        <f>IF(AND($G26&lt;=O$8-1,$H26&gt;=N$8),"X","")</f>
        <v/>
      </c>
      <c r="O26" s="16">
        <f>IF(AND($G26&lt;=P$8-1,$H26&gt;=O$8),"X","")</f>
        <v/>
      </c>
      <c r="P26" s="16">
        <f>IF(AND($G26&lt;=Q$8-1,$H26&gt;=P$8),"X","")</f>
        <v/>
      </c>
      <c r="Q26" s="16">
        <f>IF(AND($G26&lt;=R$8-1,$H26&gt;=Q$8),"X","")</f>
        <v/>
      </c>
      <c r="R26" s="16">
        <f>IF(AND($G26&lt;=R$8+4,$H26&gt;=R$8),"X","")</f>
        <v/>
      </c>
    </row>
    <row r="27" ht="27" customHeight="1">
      <c r="A27" s="9" t="inlineStr">
        <is>
          <t>4.5</t>
        </is>
      </c>
      <c r="B27" s="9" t="inlineStr">
        <is>
          <t>작업</t>
        </is>
      </c>
      <c r="C27" s="9" t="inlineStr">
        <is>
          <t>백엔드</t>
        </is>
      </c>
      <c r="D27" s="9" t="inlineStr">
        <is>
          <t>최초 튜토리얼 분기·완료 API</t>
        </is>
      </c>
      <c r="E27" s="9" t="inlineStr">
        <is>
          <t>로그인 후 완료 상태 조회, 처음이면 튜토리얼, 완료 후 재방문은 메인으로 이동</t>
        </is>
      </c>
      <c r="F27" s="9" t="inlineStr">
        <is>
          <t>B1</t>
        </is>
      </c>
      <c r="G27" s="35" t="n">
        <v>46316</v>
      </c>
      <c r="H27" s="35" t="n">
        <v>46322</v>
      </c>
      <c r="I27" s="9" t="inlineStr">
        <is>
          <t>4.1, 3.2</t>
        </is>
      </c>
      <c r="J27" s="17" t="inlineStr">
        <is>
          <t>예정</t>
        </is>
      </c>
      <c r="K27" s="36" t="n">
        <v>0</v>
      </c>
      <c r="L27" s="9" t="inlineStr">
        <is>
          <t>그래프 노드 상세 확인 후 완료 처리. 재방문 시 자동 재실행 없음</t>
        </is>
      </c>
      <c r="M27" s="16">
        <f>IF(AND($G27&lt;=N$8-1,$H27&gt;=M$8),"X","")</f>
        <v/>
      </c>
      <c r="N27" s="16">
        <f>IF(AND($G27&lt;=O$8-1,$H27&gt;=N$8),"X","")</f>
        <v/>
      </c>
      <c r="O27" s="16">
        <f>IF(AND($G27&lt;=P$8-1,$H27&gt;=O$8),"X","")</f>
        <v/>
      </c>
      <c r="P27" s="16">
        <f>IF(AND($G27&lt;=Q$8-1,$H27&gt;=P$8),"X","")</f>
        <v/>
      </c>
      <c r="Q27" s="16">
        <f>IF(AND($G27&lt;=R$8-1,$H27&gt;=Q$8),"X","")</f>
        <v/>
      </c>
      <c r="R27" s="16">
        <f>IF(AND($G27&lt;=R$8+4,$H27&gt;=R$8),"X","")</f>
        <v/>
      </c>
    </row>
    <row r="28" ht="27" customHeight="1">
      <c r="A28" s="19" t="inlineStr">
        <is>
          <t>5.1</t>
        </is>
      </c>
      <c r="B28" s="19" t="inlineStr">
        <is>
          <t>작업</t>
        </is>
      </c>
      <c r="C28" s="19" t="inlineStr">
        <is>
          <t>프론트엔드</t>
        </is>
      </c>
      <c r="D28" s="19" t="inlineStr">
        <is>
          <t>프론트 환경 적응·공통 UI</t>
        </is>
      </c>
      <c r="E28" s="19" t="inlineStr">
        <is>
          <t>개발환경 실행·버튼/폼/알림 컴포넌트·페어 리뷰</t>
        </is>
      </c>
      <c r="F28" s="19" t="inlineStr">
        <is>
          <t>F1</t>
        </is>
      </c>
      <c r="G28" s="37" t="n">
        <v>46301</v>
      </c>
      <c r="H28" s="37" t="n">
        <v>46310</v>
      </c>
      <c r="I28" s="19" t="inlineStr">
        <is>
          <t>2.1 초안, 3.1</t>
        </is>
      </c>
      <c r="J28" s="17" t="inlineStr">
        <is>
          <t>예정</t>
        </is>
      </c>
      <c r="K28" s="36" t="n">
        <v>0</v>
      </c>
      <c r="L28" s="9" t="inlineStr">
        <is>
          <t>F1 공통 UI 구현, B5 코드 리뷰</t>
        </is>
      </c>
      <c r="M28" s="16">
        <f>IF(AND($G28&lt;=N$8-1,$H28&gt;=M$8),"X","")</f>
        <v/>
      </c>
      <c r="N28" s="16">
        <f>IF(AND($G28&lt;=O$8-1,$H28&gt;=N$8),"X","")</f>
        <v/>
      </c>
      <c r="O28" s="16">
        <f>IF(AND($G28&lt;=P$8-1,$H28&gt;=O$8),"X","")</f>
        <v/>
      </c>
      <c r="P28" s="16">
        <f>IF(AND($G28&lt;=Q$8-1,$H28&gt;=P$8),"X","")</f>
        <v/>
      </c>
      <c r="Q28" s="16">
        <f>IF(AND($G28&lt;=R$8-1,$H28&gt;=Q$8),"X","")</f>
        <v/>
      </c>
      <c r="R28" s="16">
        <f>IF(AND($G28&lt;=R$8+4,$H28&gt;=R$8),"X","")</f>
        <v/>
      </c>
    </row>
    <row r="29" ht="27" customHeight="1">
      <c r="A29" s="9" t="inlineStr">
        <is>
          <t>5.2</t>
        </is>
      </c>
      <c r="B29" s="9" t="inlineStr">
        <is>
          <t>작업</t>
        </is>
      </c>
      <c r="C29" s="9" t="inlineStr">
        <is>
          <t>프론트엔드</t>
        </is>
      </c>
      <c r="D29" s="9" t="inlineStr">
        <is>
          <t>로그인·가입·비회원 화면</t>
        </is>
      </c>
      <c r="E29" s="9" t="inlineStr">
        <is>
          <t>입력 검증·실패 문구·기능 제한 안내</t>
        </is>
      </c>
      <c r="F29" s="9" t="inlineStr">
        <is>
          <t>F1</t>
        </is>
      </c>
      <c r="G29" s="35" t="n">
        <v>46309</v>
      </c>
      <c r="H29" s="35" t="n">
        <v>46317</v>
      </c>
      <c r="I29" s="9" t="inlineStr">
        <is>
          <t>5.1, 2.3</t>
        </is>
      </c>
      <c r="J29" s="17" t="inlineStr">
        <is>
          <t>예정</t>
        </is>
      </c>
      <c r="K29" s="36" t="n">
        <v>0</v>
      </c>
      <c r="L29" s="9" t="inlineStr">
        <is>
          <t>F1 인증 화면, B1 API 연동 지원</t>
        </is>
      </c>
      <c r="M29" s="16">
        <f>IF(AND($G29&lt;=N$8-1,$H29&gt;=M$8),"X","")</f>
        <v/>
      </c>
      <c r="N29" s="16">
        <f>IF(AND($G29&lt;=O$8-1,$H29&gt;=N$8),"X","")</f>
        <v/>
      </c>
      <c r="O29" s="16">
        <f>IF(AND($G29&lt;=P$8-1,$H29&gt;=O$8),"X","")</f>
        <v/>
      </c>
      <c r="P29" s="16">
        <f>IF(AND($G29&lt;=Q$8-1,$H29&gt;=P$8),"X","")</f>
        <v/>
      </c>
      <c r="Q29" s="16">
        <f>IF(AND($G29&lt;=R$8-1,$H29&gt;=Q$8),"X","")</f>
        <v/>
      </c>
      <c r="R29" s="16">
        <f>IF(AND($G29&lt;=R$8+4,$H29&gt;=R$8),"X","")</f>
        <v/>
      </c>
    </row>
    <row r="30" ht="27" customHeight="1">
      <c r="A30" s="19" t="inlineStr">
        <is>
          <t>5.3</t>
        </is>
      </c>
      <c r="B30" s="19" t="inlineStr">
        <is>
          <t>작업</t>
        </is>
      </c>
      <c r="C30" s="19" t="inlineStr">
        <is>
          <t>프론트엔드</t>
        </is>
      </c>
      <c r="D30" s="19" t="inlineStr">
        <is>
          <t>튜토리얼 관심종목 선택 화면</t>
        </is>
      </c>
      <c r="E30" s="19" t="inlineStr">
        <is>
          <t>관심종목 검색·선택, 0개이면 다음 진행 차단</t>
        </is>
      </c>
      <c r="F30" s="19" t="inlineStr">
        <is>
          <t>F1</t>
        </is>
      </c>
      <c r="G30" s="37" t="n">
        <v>46315</v>
      </c>
      <c r="H30" s="37" t="n">
        <v>46322</v>
      </c>
      <c r="I30" s="19" t="inlineStr">
        <is>
          <t>5.1, 2.4</t>
        </is>
      </c>
      <c r="J30" s="17" t="inlineStr">
        <is>
          <t>예정</t>
        </is>
      </c>
      <c r="K30" s="36" t="n">
        <v>0</v>
      </c>
      <c r="L30" s="9" t="inlineStr">
        <is>
          <t>튜토리얼 안에서 사용. 선택 결과는 개인화 메인의 그래프 기준</t>
        </is>
      </c>
      <c r="M30" s="16">
        <f>IF(AND($G30&lt;=N$8-1,$H30&gt;=M$8),"X","")</f>
        <v/>
      </c>
      <c r="N30" s="16">
        <f>IF(AND($G30&lt;=O$8-1,$H30&gt;=N$8),"X","")</f>
        <v/>
      </c>
      <c r="O30" s="16">
        <f>IF(AND($G30&lt;=P$8-1,$H30&gt;=O$8),"X","")</f>
        <v/>
      </c>
      <c r="P30" s="16">
        <f>IF(AND($G30&lt;=Q$8-1,$H30&gt;=P$8),"X","")</f>
        <v/>
      </c>
      <c r="Q30" s="16">
        <f>IF(AND($G30&lt;=R$8-1,$H30&gt;=Q$8),"X","")</f>
        <v/>
      </c>
      <c r="R30" s="16">
        <f>IF(AND($G30&lt;=R$8+4,$H30&gt;=R$8),"X","")</f>
        <v/>
      </c>
    </row>
    <row r="31" ht="27" customHeight="1">
      <c r="A31" s="9" t="inlineStr">
        <is>
          <t>5.4</t>
        </is>
      </c>
      <c r="B31" s="9" t="inlineStr">
        <is>
          <t>작업</t>
        </is>
      </c>
      <c r="C31" s="9" t="inlineStr">
        <is>
          <t>프론트엔드</t>
        </is>
      </c>
      <c r="D31" s="9" t="inlineStr">
        <is>
          <t>가상계좌 화면 구현</t>
        </is>
      </c>
      <c r="E31" s="9" t="inlineStr">
        <is>
          <t>가상계좌 mock 조회·연결 화면 구현</t>
        </is>
      </c>
      <c r="F31" s="9" t="inlineStr">
        <is>
          <t>B4</t>
        </is>
      </c>
      <c r="G31" s="35" t="n">
        <v>46318</v>
      </c>
      <c r="H31" s="35" t="n">
        <v>46323</v>
      </c>
      <c r="I31" s="9" t="inlineStr">
        <is>
          <t>5.3, 3.3</t>
        </is>
      </c>
      <c r="J31" s="17" t="inlineStr">
        <is>
          <t>예정</t>
        </is>
      </c>
      <c r="K31" s="36" t="n">
        <v>0</v>
      </c>
      <c r="L31" s="9" t="inlineStr">
        <is>
          <t>B4가 mock 계좌 화면과 API 연결, F1 스타일·접근성 검토</t>
        </is>
      </c>
      <c r="M31" s="16">
        <f>IF(AND($G31&lt;=N$8-1,$H31&gt;=M$8),"X","")</f>
        <v/>
      </c>
      <c r="N31" s="16">
        <f>IF(AND($G31&lt;=O$8-1,$H31&gt;=N$8),"X","")</f>
        <v/>
      </c>
      <c r="O31" s="16">
        <f>IF(AND($G31&lt;=P$8-1,$H31&gt;=O$8),"X","")</f>
        <v/>
      </c>
      <c r="P31" s="16">
        <f>IF(AND($G31&lt;=Q$8-1,$H31&gt;=P$8),"X","")</f>
        <v/>
      </c>
      <c r="Q31" s="16">
        <f>IF(AND($G31&lt;=R$8-1,$H31&gt;=Q$8),"X","")</f>
        <v/>
      </c>
      <c r="R31" s="16">
        <f>IF(AND($G31&lt;=R$8+4,$H31&gt;=R$8),"X","")</f>
        <v/>
      </c>
    </row>
    <row r="32" ht="27" customHeight="1">
      <c r="A32" s="19" t="inlineStr">
        <is>
          <t>5.5</t>
        </is>
      </c>
      <c r="B32" s="19" t="inlineStr">
        <is>
          <t>작업</t>
        </is>
      </c>
      <c r="C32" s="19" t="inlineStr">
        <is>
          <t>프론트엔드</t>
        </is>
      </c>
      <c r="D32" s="19" t="inlineStr">
        <is>
          <t>최초 1회 튜토리얼 구현</t>
        </is>
      </c>
      <c r="E32" s="19" t="inlineStr">
        <is>
          <t>관심종목 선택→관련 그래프 표시→노드 클릭→상세 확인→메인 이동</t>
        </is>
      </c>
      <c r="F32" s="19" t="inlineStr">
        <is>
          <t>B3</t>
        </is>
      </c>
      <c r="G32" s="37" t="n">
        <v>46318</v>
      </c>
      <c r="H32" s="37" t="n">
        <v>46328</v>
      </c>
      <c r="I32" s="19" t="inlineStr">
        <is>
          <t>5.1, 2.4</t>
        </is>
      </c>
      <c r="J32" s="17" t="inlineStr">
        <is>
          <t>예정</t>
        </is>
      </c>
      <c r="K32" s="36" t="n">
        <v>0</v>
      </c>
      <c r="L32" s="9" t="inlineStr">
        <is>
          <t>B3가 상세 화면, B5가 그래프 상호작용, F1이 공통 UI 검토. AI 질문 예시 답변과 분리</t>
        </is>
      </c>
      <c r="M32" s="16">
        <f>IF(AND($G32&lt;=N$8-1,$H32&gt;=M$8),"X","")</f>
        <v/>
      </c>
      <c r="N32" s="16">
        <f>IF(AND($G32&lt;=O$8-1,$H32&gt;=N$8),"X","")</f>
        <v/>
      </c>
      <c r="O32" s="16">
        <f>IF(AND($G32&lt;=P$8-1,$H32&gt;=O$8),"X","")</f>
        <v/>
      </c>
      <c r="P32" s="16">
        <f>IF(AND($G32&lt;=Q$8-1,$H32&gt;=P$8),"X","")</f>
        <v/>
      </c>
      <c r="Q32" s="16">
        <f>IF(AND($G32&lt;=R$8-1,$H32&gt;=Q$8),"X","")</f>
        <v/>
      </c>
      <c r="R32" s="16">
        <f>IF(AND($G32&lt;=R$8+4,$H32&gt;=R$8),"X","")</f>
        <v/>
      </c>
    </row>
    <row r="33" ht="27" customHeight="1">
      <c r="A33" s="9" t="inlineStr">
        <is>
          <t>5.6</t>
        </is>
      </c>
      <c r="B33" s="9" t="inlineStr">
        <is>
          <t>작업</t>
        </is>
      </c>
      <c r="C33" s="9" t="inlineStr">
        <is>
          <t>프론트엔드</t>
        </is>
      </c>
      <c r="D33" s="9" t="inlineStr">
        <is>
          <t>개인화 메인·관심종목 그래프</t>
        </is>
      </c>
      <c r="E33" s="9" t="inlineStr">
        <is>
          <t>저장된 관심종목의 연결 그래프·내 종목 관련 노드·뉴스·영향 분석 표시</t>
        </is>
      </c>
      <c r="F33" s="9" t="inlineStr">
        <is>
          <t>B5</t>
        </is>
      </c>
      <c r="G33" s="35" t="n">
        <v>46315</v>
      </c>
      <c r="H33" s="35" t="n">
        <v>46325</v>
      </c>
      <c r="I33" s="9" t="inlineStr">
        <is>
          <t>5.1, 2.5</t>
        </is>
      </c>
      <c r="J33" s="17" t="inlineStr">
        <is>
          <t>예정</t>
        </is>
      </c>
      <c r="K33" s="36" t="n">
        <v>0</v>
      </c>
      <c r="L33" s="9" t="inlineStr">
        <is>
          <t>로그인 후 재방문 시 직행. G5/G6, N9/N11 조회 결과 연결</t>
        </is>
      </c>
      <c r="M33" s="16">
        <f>IF(AND($G33&lt;=N$8-1,$H33&gt;=M$8),"X","")</f>
        <v/>
      </c>
      <c r="N33" s="16">
        <f>IF(AND($G33&lt;=O$8-1,$H33&gt;=N$8),"X","")</f>
        <v/>
      </c>
      <c r="O33" s="16">
        <f>IF(AND($G33&lt;=P$8-1,$H33&gt;=O$8),"X","")</f>
        <v/>
      </c>
      <c r="P33" s="16">
        <f>IF(AND($G33&lt;=Q$8-1,$H33&gt;=P$8),"X","")</f>
        <v/>
      </c>
      <c r="Q33" s="16">
        <f>IF(AND($G33&lt;=R$8-1,$H33&gt;=Q$8),"X","")</f>
        <v/>
      </c>
      <c r="R33" s="16">
        <f>IF(AND($G33&lt;=R$8+4,$H33&gt;=R$8),"X","")</f>
        <v/>
      </c>
    </row>
    <row r="34" ht="27" customHeight="1">
      <c r="A34" s="19" t="inlineStr">
        <is>
          <t>6.1</t>
        </is>
      </c>
      <c r="B34" s="19" t="inlineStr">
        <is>
          <t>작업</t>
        </is>
      </c>
      <c r="C34" s="19" t="inlineStr">
        <is>
          <t>통합</t>
        </is>
      </c>
      <c r="D34" s="19" t="inlineStr">
        <is>
          <t>인증·비회원 통합</t>
        </is>
      </c>
      <c r="E34" s="19" t="inlineStr">
        <is>
          <t>화면과 인증/권한 API 연결·오류 확인</t>
        </is>
      </c>
      <c r="F34" s="19" t="inlineStr">
        <is>
          <t>B1</t>
        </is>
      </c>
      <c r="G34" s="37" t="n">
        <v>46317</v>
      </c>
      <c r="H34" s="37" t="n">
        <v>46323</v>
      </c>
      <c r="I34" s="19" t="inlineStr">
        <is>
          <t>4.1, 4.2, 5.2</t>
        </is>
      </c>
      <c r="J34" s="17" t="inlineStr">
        <is>
          <t>예정</t>
        </is>
      </c>
      <c r="K34" s="36" t="n">
        <v>0</v>
      </c>
      <c r="L34" s="9" t="inlineStr">
        <is>
          <t>B1 인증·비회원 화면 연동, F1 확인</t>
        </is>
      </c>
      <c r="M34" s="16">
        <f>IF(AND($G34&lt;=N$8-1,$H34&gt;=M$8),"X","")</f>
        <v/>
      </c>
      <c r="N34" s="16">
        <f>IF(AND($G34&lt;=O$8-1,$H34&gt;=N$8),"X","")</f>
        <v/>
      </c>
      <c r="O34" s="16">
        <f>IF(AND($G34&lt;=P$8-1,$H34&gt;=O$8),"X","")</f>
        <v/>
      </c>
      <c r="P34" s="16">
        <f>IF(AND($G34&lt;=Q$8-1,$H34&gt;=P$8),"X","")</f>
        <v/>
      </c>
      <c r="Q34" s="16">
        <f>IF(AND($G34&lt;=R$8-1,$H34&gt;=Q$8),"X","")</f>
        <v/>
      </c>
      <c r="R34" s="16">
        <f>IF(AND($G34&lt;=R$8+4,$H34&gt;=R$8),"X","")</f>
        <v/>
      </c>
    </row>
    <row r="35" ht="27" customHeight="1">
      <c r="A35" s="9" t="inlineStr">
        <is>
          <t>6.2</t>
        </is>
      </c>
      <c r="B35" s="9" t="inlineStr">
        <is>
          <t>작업</t>
        </is>
      </c>
      <c r="C35" s="9" t="inlineStr">
        <is>
          <t>통합</t>
        </is>
      </c>
      <c r="D35" s="9" t="inlineStr">
        <is>
          <t>종목·가상계좌 데이터 통합</t>
        </is>
      </c>
      <c r="E35" s="9" t="inlineStr">
        <is>
          <t>mock 계좌·검색·선택 결과 연결</t>
        </is>
      </c>
      <c r="F35" s="9" t="inlineStr">
        <is>
          <t>B4</t>
        </is>
      </c>
      <c r="G35" s="35" t="n">
        <v>46323</v>
      </c>
      <c r="H35" s="35" t="n">
        <v>46328</v>
      </c>
      <c r="I35" s="9" t="inlineStr">
        <is>
          <t>4.3, 4.4, 5.3, 5.4</t>
        </is>
      </c>
      <c r="J35" s="17" t="inlineStr">
        <is>
          <t>예정</t>
        </is>
      </c>
      <c r="K35" s="36" t="n">
        <v>0</v>
      </c>
      <c r="L35" s="9" t="inlineStr">
        <is>
          <t>B4 계좌·관심종목 연동, F1 화면 확인</t>
        </is>
      </c>
      <c r="M35" s="16">
        <f>IF(AND($G35&lt;=N$8-1,$H35&gt;=M$8),"X","")</f>
        <v/>
      </c>
      <c r="N35" s="16">
        <f>IF(AND($G35&lt;=O$8-1,$H35&gt;=N$8),"X","")</f>
        <v/>
      </c>
      <c r="O35" s="16">
        <f>IF(AND($G35&lt;=P$8-1,$H35&gt;=O$8),"X","")</f>
        <v/>
      </c>
      <c r="P35" s="16">
        <f>IF(AND($G35&lt;=Q$8-1,$H35&gt;=P$8),"X","")</f>
        <v/>
      </c>
      <c r="Q35" s="16">
        <f>IF(AND($G35&lt;=R$8-1,$H35&gt;=Q$8),"X","")</f>
        <v/>
      </c>
      <c r="R35" s="16">
        <f>IF(AND($G35&lt;=R$8+4,$H35&gt;=R$8),"X","")</f>
        <v/>
      </c>
    </row>
    <row r="36" ht="27" customHeight="1">
      <c r="A36" s="19" t="inlineStr">
        <is>
          <t>6.3</t>
        </is>
      </c>
      <c r="B36" s="19" t="inlineStr">
        <is>
          <t>작업</t>
        </is>
      </c>
      <c r="C36" s="19" t="inlineStr">
        <is>
          <t>통합</t>
        </is>
      </c>
      <c r="D36" s="19" t="inlineStr">
        <is>
          <t>튜토리얼·개인화 메인 통합</t>
        </is>
      </c>
      <c r="E36" s="19" t="inlineStr">
        <is>
          <t>최초/재방문 분기, 종목 선택·그래프·노드 상세·완료·메인 그래프 연결 확인</t>
        </is>
      </c>
      <c r="F36" s="19" t="inlineStr">
        <is>
          <t>B2</t>
        </is>
      </c>
      <c r="G36" s="37" t="n">
        <v>46325</v>
      </c>
      <c r="H36" s="37" t="n">
        <v>46329</v>
      </c>
      <c r="I36" s="19" t="inlineStr">
        <is>
          <t>4.5, 5.3, 5.5, 5.6, G6, N9, T8</t>
        </is>
      </c>
      <c r="J36" s="17" t="inlineStr">
        <is>
          <t>예정</t>
        </is>
      </c>
      <c r="K36" s="36" t="n">
        <v>0</v>
      </c>
      <c r="L36" s="9" t="inlineStr">
        <is>
          <t>T1~T10 사용자 흐름 상세 WBS 기준으로 통합</t>
        </is>
      </c>
      <c r="M36" s="16">
        <f>IF(AND($G36&lt;=N$8-1,$H36&gt;=M$8),"X","")</f>
        <v/>
      </c>
      <c r="N36" s="16">
        <f>IF(AND($G36&lt;=O$8-1,$H36&gt;=N$8),"X","")</f>
        <v/>
      </c>
      <c r="O36" s="16">
        <f>IF(AND($G36&lt;=P$8-1,$H36&gt;=O$8),"X","")</f>
        <v/>
      </c>
      <c r="P36" s="16">
        <f>IF(AND($G36&lt;=Q$8-1,$H36&gt;=P$8),"X","")</f>
        <v/>
      </c>
      <c r="Q36" s="16">
        <f>IF(AND($G36&lt;=R$8-1,$H36&gt;=Q$8),"X","")</f>
        <v/>
      </c>
      <c r="R36" s="16">
        <f>IF(AND($G36&lt;=R$8+4,$H36&gt;=R$8),"X","")</f>
        <v/>
      </c>
    </row>
    <row r="37" ht="27" customHeight="1">
      <c r="A37" s="25" t="inlineStr">
        <is>
          <t>M3</t>
        </is>
      </c>
      <c r="B37" s="25" t="inlineStr">
        <is>
          <t>마일스톤</t>
        </is>
      </c>
      <c r="C37" s="25" t="inlineStr">
        <is>
          <t>통합</t>
        </is>
      </c>
      <c r="D37" s="25" t="inlineStr">
        <is>
          <t>기능 통합 완료</t>
        </is>
      </c>
      <c r="E37" s="25" t="inlineStr">
        <is>
          <t>전체 진입 경로를 스테이징에서 시연</t>
        </is>
      </c>
      <c r="F37" s="25" t="inlineStr">
        <is>
          <t>전체</t>
        </is>
      </c>
      <c r="G37" s="38" t="n">
        <v>46329</v>
      </c>
      <c r="H37" s="38" t="n">
        <v>46329</v>
      </c>
      <c r="I37" s="25" t="inlineStr">
        <is>
          <t>6.1, 6.2, 6.3, N9, N11</t>
        </is>
      </c>
      <c r="J37" s="25" t="inlineStr">
        <is>
          <t>예정</t>
        </is>
      </c>
      <c r="K37" s="39" t="n">
        <v>0</v>
      </c>
      <c r="L37" s="25" t="inlineStr"/>
      <c r="M37" s="24">
        <f>IF(AND($G37&lt;=N$8-1,$H37&gt;=M$8),"X","")</f>
        <v/>
      </c>
      <c r="N37" s="24">
        <f>IF(AND($G37&lt;=O$8-1,$H37&gt;=N$8),"X","")</f>
        <v/>
      </c>
      <c r="O37" s="24">
        <f>IF(AND($G37&lt;=P$8-1,$H37&gt;=O$8),"X","")</f>
        <v/>
      </c>
      <c r="P37" s="24">
        <f>IF(AND($G37&lt;=Q$8-1,$H37&gt;=P$8),"X","")</f>
        <v/>
      </c>
      <c r="Q37" s="24">
        <f>IF(AND($G37&lt;=R$8-1,$H37&gt;=Q$8),"X","")</f>
        <v/>
      </c>
      <c r="R37" s="24">
        <f>IF(AND($G37&lt;=R$8+4,$H37&gt;=R$8),"X","")</f>
        <v/>
      </c>
    </row>
    <row r="38" ht="27" customHeight="1">
      <c r="A38" s="19" t="inlineStr">
        <is>
          <t>7.1</t>
        </is>
      </c>
      <c r="B38" s="19" t="inlineStr">
        <is>
          <t>작업</t>
        </is>
      </c>
      <c r="C38" s="19" t="inlineStr">
        <is>
          <t>검증</t>
        </is>
      </c>
      <c r="D38" s="19" t="inlineStr">
        <is>
          <t>테스트 시나리오 작성</t>
        </is>
      </c>
      <c r="E38" s="19" t="inlineStr">
        <is>
          <t>최초 로그인·재방문, 관심종목 0개, 그래프 노드·상세·메인·뉴스 자동 분석 시나리오</t>
        </is>
      </c>
      <c r="F38" s="19" t="inlineStr">
        <is>
          <t>B3</t>
        </is>
      </c>
      <c r="G38" s="37" t="n">
        <v>46317</v>
      </c>
      <c r="H38" s="37" t="n">
        <v>46323</v>
      </c>
      <c r="I38" s="19" t="inlineStr">
        <is>
          <t>M2</t>
        </is>
      </c>
      <c r="J38" s="17" t="inlineStr">
        <is>
          <t>예정</t>
        </is>
      </c>
      <c r="K38" s="36" t="n">
        <v>0</v>
      </c>
      <c r="L38" s="9" t="inlineStr">
        <is>
          <t>B3 시나리오 작성, B1·B2·B4 API별 검토</t>
        </is>
      </c>
      <c r="M38" s="16">
        <f>IF(AND($G38&lt;=N$8-1,$H38&gt;=M$8),"X","")</f>
        <v/>
      </c>
      <c r="N38" s="16">
        <f>IF(AND($G38&lt;=O$8-1,$H38&gt;=N$8),"X","")</f>
        <v/>
      </c>
      <c r="O38" s="16">
        <f>IF(AND($G38&lt;=P$8-1,$H38&gt;=O$8),"X","")</f>
        <v/>
      </c>
      <c r="P38" s="16">
        <f>IF(AND($G38&lt;=Q$8-1,$H38&gt;=P$8),"X","")</f>
        <v/>
      </c>
      <c r="Q38" s="16">
        <f>IF(AND($G38&lt;=R$8-1,$H38&gt;=Q$8),"X","")</f>
        <v/>
      </c>
      <c r="R38" s="16">
        <f>IF(AND($G38&lt;=R$8+4,$H38&gt;=R$8),"X","")</f>
        <v/>
      </c>
    </row>
    <row r="39" ht="27" customHeight="1">
      <c r="A39" s="9" t="inlineStr">
        <is>
          <t>7.2</t>
        </is>
      </c>
      <c r="B39" s="9" t="inlineStr">
        <is>
          <t>작업</t>
        </is>
      </c>
      <c r="C39" s="9" t="inlineStr">
        <is>
          <t>검증</t>
        </is>
      </c>
      <c r="D39" s="9" t="inlineStr">
        <is>
          <t>기능·mock 데이터 테스트</t>
        </is>
      </c>
      <c r="E39" s="9" t="inlineStr">
        <is>
          <t>최초 1회 튜토리얼·재방문 우회·메인 개인화 그래프와 뉴스 수집/분석 확인</t>
        </is>
      </c>
      <c r="F39" s="9" t="inlineStr">
        <is>
          <t>B2</t>
        </is>
      </c>
      <c r="G39" s="35" t="n">
        <v>46324</v>
      </c>
      <c r="H39" s="35" t="n">
        <v>46330</v>
      </c>
      <c r="I39" s="9" t="inlineStr">
        <is>
          <t>T9, N8, N9, N11</t>
        </is>
      </c>
      <c r="J39" s="17" t="inlineStr">
        <is>
          <t>예정</t>
        </is>
      </c>
      <c r="K39" s="36" t="n">
        <v>0</v>
      </c>
      <c r="L39" s="9" t="inlineStr">
        <is>
          <t>N12 종단 간 검증 결과와 함께 확인</t>
        </is>
      </c>
      <c r="M39" s="16">
        <f>IF(AND($G39&lt;=N$8-1,$H39&gt;=M$8),"X","")</f>
        <v/>
      </c>
      <c r="N39" s="16">
        <f>IF(AND($G39&lt;=O$8-1,$H39&gt;=N$8),"X","")</f>
        <v/>
      </c>
      <c r="O39" s="16">
        <f>IF(AND($G39&lt;=P$8-1,$H39&gt;=O$8),"X","")</f>
        <v/>
      </c>
      <c r="P39" s="16">
        <f>IF(AND($G39&lt;=Q$8-1,$H39&gt;=P$8),"X","")</f>
        <v/>
      </c>
      <c r="Q39" s="16">
        <f>IF(AND($G39&lt;=R$8-1,$H39&gt;=Q$8),"X","")</f>
        <v/>
      </c>
      <c r="R39" s="16">
        <f>IF(AND($G39&lt;=R$8+4,$H39&gt;=R$8),"X","")</f>
        <v/>
      </c>
    </row>
    <row r="40" ht="27" customHeight="1">
      <c r="A40" s="19" t="inlineStr">
        <is>
          <t>7.3</t>
        </is>
      </c>
      <c r="B40" s="19" t="inlineStr">
        <is>
          <t>작업</t>
        </is>
      </c>
      <c r="C40" s="19" t="inlineStr">
        <is>
          <t>검증</t>
        </is>
      </c>
      <c r="D40" s="19" t="inlineStr">
        <is>
          <t>반응형·접근성 점검</t>
        </is>
      </c>
      <c r="E40" s="19" t="inlineStr">
        <is>
          <t>모바일 화면·키보드 이동·알림 가독성 확인</t>
        </is>
      </c>
      <c r="F40" s="19" t="inlineStr">
        <is>
          <t>B5</t>
        </is>
      </c>
      <c r="G40" s="37" t="n">
        <v>46328</v>
      </c>
      <c r="H40" s="37" t="n">
        <v>46330</v>
      </c>
      <c r="I40" s="19" t="inlineStr">
        <is>
          <t>5.5, 5.6</t>
        </is>
      </c>
      <c r="J40" s="17" t="inlineStr">
        <is>
          <t>예정</t>
        </is>
      </c>
      <c r="K40" s="36" t="n">
        <v>0</v>
      </c>
      <c r="L40" s="9" t="inlineStr">
        <is>
          <t>B5 접근성·사용성 점검, F1 수정</t>
        </is>
      </c>
      <c r="M40" s="16">
        <f>IF(AND($G40&lt;=N$8-1,$H40&gt;=M$8),"X","")</f>
        <v/>
      </c>
      <c r="N40" s="16">
        <f>IF(AND($G40&lt;=O$8-1,$H40&gt;=N$8),"X","")</f>
        <v/>
      </c>
      <c r="O40" s="16">
        <f>IF(AND($G40&lt;=P$8-1,$H40&gt;=O$8),"X","")</f>
        <v/>
      </c>
      <c r="P40" s="16">
        <f>IF(AND($G40&lt;=Q$8-1,$H40&gt;=P$8),"X","")</f>
        <v/>
      </c>
      <c r="Q40" s="16">
        <f>IF(AND($G40&lt;=R$8-1,$H40&gt;=Q$8),"X","")</f>
        <v/>
      </c>
      <c r="R40" s="16">
        <f>IF(AND($G40&lt;=R$8+4,$H40&gt;=R$8),"X","")</f>
        <v/>
      </c>
    </row>
    <row r="41" ht="27" customHeight="1">
      <c r="A41" s="9" t="inlineStr">
        <is>
          <t>7.4</t>
        </is>
      </c>
      <c r="B41" s="9" t="inlineStr">
        <is>
          <t>작업</t>
        </is>
      </c>
      <c r="C41" s="9" t="inlineStr">
        <is>
          <t>검증</t>
        </is>
      </c>
      <c r="D41" s="9" t="inlineStr">
        <is>
          <t>결함 수정·재검증</t>
        </is>
      </c>
      <c r="E41" s="9" t="inlineStr">
        <is>
          <t>우선순위 높은 결함 해결·회귀 확인</t>
        </is>
      </c>
      <c r="F41" s="9" t="inlineStr">
        <is>
          <t>B2</t>
        </is>
      </c>
      <c r="G41" s="35" t="n">
        <v>46329</v>
      </c>
      <c r="H41" s="35" t="n">
        <v>46331</v>
      </c>
      <c r="I41" s="9" t="inlineStr">
        <is>
          <t>7.2, 7.3</t>
        </is>
      </c>
      <c r="J41" s="17" t="inlineStr">
        <is>
          <t>예정</t>
        </is>
      </c>
      <c r="K41" s="36" t="n">
        <v>0</v>
      </c>
      <c r="L41" s="9" t="inlineStr">
        <is>
          <t>B2가 수정 우선순위 관리, 각 주담당이 소유 기능 수정</t>
        </is>
      </c>
      <c r="M41" s="16">
        <f>IF(AND($G41&lt;=N$8-1,$H41&gt;=M$8),"X","")</f>
        <v/>
      </c>
      <c r="N41" s="16">
        <f>IF(AND($G41&lt;=O$8-1,$H41&gt;=N$8),"X","")</f>
        <v/>
      </c>
      <c r="O41" s="16">
        <f>IF(AND($G41&lt;=P$8-1,$H41&gt;=O$8),"X","")</f>
        <v/>
      </c>
      <c r="P41" s="16">
        <f>IF(AND($G41&lt;=Q$8-1,$H41&gt;=P$8),"X","")</f>
        <v/>
      </c>
      <c r="Q41" s="16">
        <f>IF(AND($G41&lt;=R$8-1,$H41&gt;=Q$8),"X","")</f>
        <v/>
      </c>
      <c r="R41" s="16">
        <f>IF(AND($G41&lt;=R$8+4,$H41&gt;=R$8),"X","")</f>
        <v/>
      </c>
    </row>
    <row r="42" ht="27" customHeight="1">
      <c r="A42" s="19" t="inlineStr">
        <is>
          <t>8.1</t>
        </is>
      </c>
      <c r="B42" s="19" t="inlineStr">
        <is>
          <t>작업</t>
        </is>
      </c>
      <c r="C42" s="19" t="inlineStr">
        <is>
          <t>출시</t>
        </is>
      </c>
      <c r="D42" s="19" t="inlineStr">
        <is>
          <t>MVP 시연·수용 확인</t>
        </is>
      </c>
      <c r="E42" s="19" t="inlineStr">
        <is>
          <t>첫 사용자 튜토리얼→개인화 메인과 자동 수집 뉴스 영향 분석 시연</t>
        </is>
      </c>
      <c r="F42" s="19" t="inlineStr">
        <is>
          <t>A1</t>
        </is>
      </c>
      <c r="G42" s="37" t="n">
        <v>46331</v>
      </c>
      <c r="H42" s="37" t="n">
        <v>46331</v>
      </c>
      <c r="I42" s="19" t="inlineStr">
        <is>
          <t>M3, N12</t>
        </is>
      </c>
      <c r="J42" s="17" t="inlineStr">
        <is>
          <t>예정</t>
        </is>
      </c>
      <c r="K42" s="36" t="n">
        <v>0</v>
      </c>
      <c r="L42" s="9" t="inlineStr">
        <is>
          <t>최초 로그인과 재방문 두 경로 모두 시연. AI 질문 예시 답변은 별도 확인</t>
        </is>
      </c>
      <c r="M42" s="16">
        <f>IF(AND($G42&lt;=N$8-1,$H42&gt;=M$8),"X","")</f>
        <v/>
      </c>
      <c r="N42" s="16">
        <f>IF(AND($G42&lt;=O$8-1,$H42&gt;=N$8),"X","")</f>
        <v/>
      </c>
      <c r="O42" s="16">
        <f>IF(AND($G42&lt;=P$8-1,$H42&gt;=O$8),"X","")</f>
        <v/>
      </c>
      <c r="P42" s="16">
        <f>IF(AND($G42&lt;=Q$8-1,$H42&gt;=P$8),"X","")</f>
        <v/>
      </c>
      <c r="Q42" s="16">
        <f>IF(AND($G42&lt;=R$8-1,$H42&gt;=Q$8),"X","")</f>
        <v/>
      </c>
      <c r="R42" s="16">
        <f>IF(AND($G42&lt;=R$8+4,$H42&gt;=R$8),"X","")</f>
        <v/>
      </c>
    </row>
    <row r="43" ht="27" customHeight="1">
      <c r="A43" s="9" t="inlineStr">
        <is>
          <t>8.2</t>
        </is>
      </c>
      <c r="B43" s="9" t="inlineStr">
        <is>
          <t>작업</t>
        </is>
      </c>
      <c r="C43" s="9" t="inlineStr">
        <is>
          <t>출시</t>
        </is>
      </c>
      <c r="D43" s="9" t="inlineStr">
        <is>
          <t>배포·최종 확인</t>
        </is>
      </c>
      <c r="E43" s="9" t="inlineStr">
        <is>
          <t>배포·주요 경로 스모크 테스트</t>
        </is>
      </c>
      <c r="F43" s="9" t="inlineStr">
        <is>
          <t>A1</t>
        </is>
      </c>
      <c r="G43" s="35" t="n">
        <v>46331</v>
      </c>
      <c r="H43" s="35" t="n">
        <v>46332</v>
      </c>
      <c r="I43" s="9" t="inlineStr">
        <is>
          <t>8.1</t>
        </is>
      </c>
      <c r="J43" s="17" t="inlineStr">
        <is>
          <t>예정</t>
        </is>
      </c>
      <c r="K43" s="36" t="n">
        <v>0</v>
      </c>
      <c r="L43" s="9" t="inlineStr">
        <is>
          <t>A1 배포·스테이징 확인, B1 인증 점검</t>
        </is>
      </c>
      <c r="M43" s="16">
        <f>IF(AND($G43&lt;=N$8-1,$H43&gt;=M$8),"X","")</f>
        <v/>
      </c>
      <c r="N43" s="16">
        <f>IF(AND($G43&lt;=O$8-1,$H43&gt;=N$8),"X","")</f>
        <v/>
      </c>
      <c r="O43" s="16">
        <f>IF(AND($G43&lt;=P$8-1,$H43&gt;=O$8),"X","")</f>
        <v/>
      </c>
      <c r="P43" s="16">
        <f>IF(AND($G43&lt;=Q$8-1,$H43&gt;=P$8),"X","")</f>
        <v/>
      </c>
      <c r="Q43" s="16">
        <f>IF(AND($G43&lt;=R$8-1,$H43&gt;=Q$8),"X","")</f>
        <v/>
      </c>
      <c r="R43" s="16">
        <f>IF(AND($G43&lt;=R$8+4,$H43&gt;=R$8),"X","")</f>
        <v/>
      </c>
    </row>
    <row r="44" ht="27" customHeight="1">
      <c r="A44" s="19" t="inlineStr">
        <is>
          <t>8.3</t>
        </is>
      </c>
      <c r="B44" s="19" t="inlineStr">
        <is>
          <t>작업</t>
        </is>
      </c>
      <c r="C44" s="19" t="inlineStr">
        <is>
          <t>출시</t>
        </is>
      </c>
      <c r="D44" s="19" t="inlineStr">
        <is>
          <t>운영·인계 자료</t>
        </is>
      </c>
      <c r="E44" s="19" t="inlineStr">
        <is>
          <t>사용 방법·미구현 범위·후속 개선 목록</t>
        </is>
      </c>
      <c r="F44" s="19" t="inlineStr">
        <is>
          <t>A1</t>
        </is>
      </c>
      <c r="G44" s="37" t="n">
        <v>46331</v>
      </c>
      <c r="H44" s="37" t="n">
        <v>46332</v>
      </c>
      <c r="I44" s="19" t="inlineStr">
        <is>
          <t>8.1</t>
        </is>
      </c>
      <c r="J44" s="17" t="inlineStr">
        <is>
          <t>예정</t>
        </is>
      </c>
      <c r="K44" s="36" t="n">
        <v>0</v>
      </c>
      <c r="L44" s="9" t="inlineStr">
        <is>
          <t>A1 운영·인계 문서 취합, B2~B4 기능별 작성</t>
        </is>
      </c>
      <c r="M44" s="16">
        <f>IF(AND($G44&lt;=N$8-1,$H44&gt;=M$8),"X","")</f>
        <v/>
      </c>
      <c r="N44" s="16">
        <f>IF(AND($G44&lt;=O$8-1,$H44&gt;=N$8),"X","")</f>
        <v/>
      </c>
      <c r="O44" s="16">
        <f>IF(AND($G44&lt;=P$8-1,$H44&gt;=O$8),"X","")</f>
        <v/>
      </c>
      <c r="P44" s="16">
        <f>IF(AND($G44&lt;=Q$8-1,$H44&gt;=P$8),"X","")</f>
        <v/>
      </c>
      <c r="Q44" s="16">
        <f>IF(AND($G44&lt;=R$8-1,$H44&gt;=Q$8),"X","")</f>
        <v/>
      </c>
      <c r="R44" s="16">
        <f>IF(AND($G44&lt;=R$8+4,$H44&gt;=R$8),"X","")</f>
        <v/>
      </c>
    </row>
    <row r="45" ht="27" customHeight="1">
      <c r="A45" s="28" t="inlineStr">
        <is>
          <t>M4</t>
        </is>
      </c>
      <c r="B45" s="28" t="inlineStr">
        <is>
          <t>마일스톤</t>
        </is>
      </c>
      <c r="C45" s="28" t="inlineStr">
        <is>
          <t>출시</t>
        </is>
      </c>
      <c r="D45" s="28" t="inlineStr">
        <is>
          <t>MVP 완료</t>
        </is>
      </c>
      <c r="E45" s="28" t="inlineStr">
        <is>
          <t>시연·배포·인계 완료</t>
        </is>
      </c>
      <c r="F45" s="28" t="inlineStr">
        <is>
          <t>전체</t>
        </is>
      </c>
      <c r="G45" s="40" t="n">
        <v>46332</v>
      </c>
      <c r="H45" s="40" t="n">
        <v>46332</v>
      </c>
      <c r="I45" s="28" t="inlineStr">
        <is>
          <t>8.2, 8.3</t>
        </is>
      </c>
      <c r="J45" s="28" t="inlineStr">
        <is>
          <t>예정</t>
        </is>
      </c>
      <c r="K45" s="41" t="n">
        <v>0</v>
      </c>
      <c r="L45" s="28" t="inlineStr"/>
      <c r="M45" s="31">
        <f>IF(AND($G45&lt;=N$8-1,$H45&gt;=M$8),"X","")</f>
        <v/>
      </c>
      <c r="N45" s="31">
        <f>IF(AND($G45&lt;=O$8-1,$H45&gt;=N$8),"X","")</f>
        <v/>
      </c>
      <c r="O45" s="31">
        <f>IF(AND($G45&lt;=P$8-1,$H45&gt;=O$8),"X","")</f>
        <v/>
      </c>
      <c r="P45" s="31">
        <f>IF(AND($G45&lt;=Q$8-1,$H45&gt;=P$8),"X","")</f>
        <v/>
      </c>
      <c r="Q45" s="31">
        <f>IF(AND($G45&lt;=R$8-1,$H45&gt;=Q$8),"X","")</f>
        <v/>
      </c>
      <c r="R45" s="31">
        <f>IF(AND($G45&lt;=R$8+4,$H45&gt;=R$8),"X","")</f>
        <v/>
      </c>
    </row>
  </sheetData>
  <dataValidations count="2">
    <dataValidation sqref="J9:J45" showDropDown="0" showInputMessage="0" showErrorMessage="0" allowBlank="0" type="list">
      <formula1>"예정,진행중,완료,지연,보류"</formula1>
    </dataValidation>
    <dataValidation sqref="K9:K45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E58A4A"/>
    <outlinePr summaryBelow="1" summaryRight="1"/>
    <pageSetUpPr/>
  </sheetPr>
  <dimension ref="A2:J18"/>
  <sheetViews>
    <sheetView showGridLines="0" workbookViewId="0">
      <pane xSplit="4" ySplit="8" topLeftCell="E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9" customWidth="1" min="2" max="2"/>
    <col width="58" customWidth="1" min="3" max="3"/>
    <col width="12" customWidth="1" min="4" max="4"/>
    <col width="15" customWidth="1" min="5" max="5"/>
    <col width="15" customWidth="1" min="6" max="6"/>
    <col width="22" customWidth="1" min="7" max="7"/>
    <col width="11" customWidth="1" min="8" max="8"/>
    <col width="11" customWidth="1" min="9" max="9"/>
    <col width="44" customWidth="1" min="10" max="10"/>
  </cols>
  <sheetData>
    <row r="2">
      <c r="A2" s="42" t="inlineStr">
        <is>
          <t>첫 로그인 튜토리얼 → 개인화 메인 WBS</t>
        </is>
      </c>
    </row>
    <row r="3" ht="24" customHeight="1">
      <c r="A3" s="68" t="inlineStr">
        <is>
          <t>최초 로그인</t>
        </is>
      </c>
      <c r="B3" s="44" t="inlineStr">
        <is>
          <t>메인→로그인 성공→튜토리얼 미완료 확인→관심종목 선택→그래프→노드 상세→완료→메인</t>
        </is>
      </c>
    </row>
    <row r="4" ht="24" customHeight="1">
      <c r="A4" s="68" t="inlineStr">
        <is>
          <t>재방문 로그인</t>
        </is>
      </c>
      <c r="B4" s="44" t="inlineStr">
        <is>
          <t>로그인 성공→튜토리얼 완료 확인→개인화 메인으로 바로 이동</t>
        </is>
      </c>
    </row>
    <row r="5" ht="24" customHeight="1">
      <c r="A5" s="68" t="inlineStr">
        <is>
          <t>메인 화면</t>
        </is>
      </c>
      <c r="B5" s="44" t="inlineStr">
        <is>
          <t>저장된 관심종목 연결 그래프와 내 종목 관련 노드·뉴스·영향 분석 표시</t>
        </is>
      </c>
    </row>
    <row r="6" ht="24" customHeight="1">
      <c r="A6" s="68" t="inlineStr">
        <is>
          <t>예외 조건</t>
        </is>
      </c>
      <c r="B6" s="44" t="inlineStr">
        <is>
          <t>관심종목 0개면 다음 버튼 차단. 그래프/뉴스가 비면 빈 상태 표시. 완료 전 이탈 시 다시 이어서 진행</t>
        </is>
      </c>
    </row>
    <row r="7">
      <c r="A7" s="45" t="inlineStr">
        <is>
          <t>이 탭은 기존 WBS의 인증·종목 선택·GraphDB·화면 작업을 사용자 순서대로 풀어 쓴 상세 일정입니다. 중복 작업으로 인원을 추가 집계하지 않습니다.</t>
        </is>
      </c>
    </row>
    <row r="8" ht="30" customHeight="1">
      <c r="A8" s="69" t="inlineStr">
        <is>
          <t>WBS</t>
        </is>
      </c>
      <c r="B8" s="69" t="inlineStr">
        <is>
          <t>사용자 순서·작업</t>
        </is>
      </c>
      <c r="C8" s="69" t="inlineStr">
        <is>
          <t>완료 기준</t>
        </is>
      </c>
      <c r="D8" s="69" t="inlineStr">
        <is>
          <t>주담당</t>
        </is>
      </c>
      <c r="E8" s="69" t="inlineStr">
        <is>
          <t>시작</t>
        </is>
      </c>
      <c r="F8" s="69" t="inlineStr">
        <is>
          <t>완료</t>
        </is>
      </c>
      <c r="G8" s="69" t="inlineStr">
        <is>
          <t>의존</t>
        </is>
      </c>
      <c r="H8" s="69" t="inlineStr">
        <is>
          <t>상태</t>
        </is>
      </c>
      <c r="I8" s="69" t="inlineStr">
        <is>
          <t>진행률</t>
        </is>
      </c>
      <c r="J8" s="69" t="inlineStr">
        <is>
          <t>기존 WBS·비고</t>
        </is>
      </c>
    </row>
    <row r="9" ht="32" customHeight="1">
      <c r="A9" s="70" t="inlineStr">
        <is>
          <t>T1</t>
        </is>
      </c>
      <c r="B9" s="70" t="inlineStr">
        <is>
          <t>메인에서 로그인 진입</t>
        </is>
      </c>
      <c r="C9" s="70" t="inlineStr">
        <is>
          <t>로그인 전 메인에서 로그인 버튼·로그인 화면 진입</t>
        </is>
      </c>
      <c r="D9" s="70" t="inlineStr">
        <is>
          <t>F1</t>
        </is>
      </c>
      <c r="E9" s="71" t="n">
        <v>46309</v>
      </c>
      <c r="F9" s="71" t="n">
        <v>46317</v>
      </c>
      <c r="G9" s="70" t="inlineStr">
        <is>
          <t>5.1, 5.2</t>
        </is>
      </c>
      <c r="H9" s="72" t="inlineStr">
        <is>
          <t>예정</t>
        </is>
      </c>
      <c r="I9" s="73" t="n">
        <v>0</v>
      </c>
      <c r="J9" s="70" t="inlineStr">
        <is>
          <t>메인→로그인 시작점</t>
        </is>
      </c>
    </row>
    <row r="10" ht="32" customHeight="1">
      <c r="A10" s="74" t="inlineStr">
        <is>
          <t>T2</t>
        </is>
      </c>
      <c r="B10" s="74" t="inlineStr">
        <is>
          <t>최초 사용자 분기</t>
        </is>
      </c>
      <c r="C10" s="74" t="inlineStr">
        <is>
          <t>로그인 성공 후 완료 상태가 없으면 튜토리얼, 있으면 메인</t>
        </is>
      </c>
      <c r="D10" s="74" t="inlineStr">
        <is>
          <t>B1</t>
        </is>
      </c>
      <c r="E10" s="75" t="n">
        <v>46316</v>
      </c>
      <c r="F10" s="75" t="n">
        <v>46322</v>
      </c>
      <c r="G10" s="74" t="inlineStr">
        <is>
          <t>4.1, 4.5</t>
        </is>
      </c>
      <c r="H10" s="72" t="inlineStr">
        <is>
          <t>예정</t>
        </is>
      </c>
      <c r="I10" s="73" t="n">
        <v>0</v>
      </c>
      <c r="J10" s="74" t="inlineStr">
        <is>
          <t>완료 상태는 회원 계정에 저장</t>
        </is>
      </c>
    </row>
    <row r="11" ht="32" customHeight="1">
      <c r="A11" s="70" t="inlineStr">
        <is>
          <t>T3</t>
        </is>
      </c>
      <c r="B11" s="70" t="inlineStr">
        <is>
          <t>관심종목 선정</t>
        </is>
      </c>
      <c r="C11" s="70" t="inlineStr">
        <is>
          <t>관심종목 검색·1개 이상 저장, 0개면 다음 단계 차단</t>
        </is>
      </c>
      <c r="D11" s="70" t="inlineStr">
        <is>
          <t>F1</t>
        </is>
      </c>
      <c r="E11" s="71" t="n">
        <v>46315</v>
      </c>
      <c r="F11" s="71" t="n">
        <v>46322</v>
      </c>
      <c r="G11" s="70" t="inlineStr">
        <is>
          <t>4.4, 5.3</t>
        </is>
      </c>
      <c r="H11" s="72" t="inlineStr">
        <is>
          <t>예정</t>
        </is>
      </c>
      <c r="I11" s="73" t="n">
        <v>0</v>
      </c>
      <c r="J11" s="70" t="inlineStr">
        <is>
          <t>가상계좌 연결 없이도 튜토리얼 진행 가능</t>
        </is>
      </c>
    </row>
    <row r="12" ht="32" customHeight="1">
      <c r="A12" s="74" t="inlineStr">
        <is>
          <t>T4</t>
        </is>
      </c>
      <c r="B12" s="74" t="inlineStr">
        <is>
          <t>선택 종목 그래프 조회</t>
        </is>
      </c>
      <c r="C12" s="74" t="inlineStr">
        <is>
          <t>선택한 종목과 연결된 기업·이슈·뉴스 노드 응답</t>
        </is>
      </c>
      <c r="D12" s="74" t="inlineStr">
        <is>
          <t>B2</t>
        </is>
      </c>
      <c r="E12" s="75" t="n">
        <v>46311</v>
      </c>
      <c r="F12" s="75" t="n">
        <v>46318</v>
      </c>
      <c r="G12" s="74" t="inlineStr">
        <is>
          <t>G5, 4.4 초안</t>
        </is>
      </c>
      <c r="H12" s="72" t="inlineStr">
        <is>
          <t>예정</t>
        </is>
      </c>
      <c r="I12" s="73" t="n">
        <v>0</v>
      </c>
      <c r="J12" s="74" t="inlineStr">
        <is>
          <t>종목 선택 결과로 그래프 필터</t>
        </is>
      </c>
    </row>
    <row r="13" ht="32" customHeight="1">
      <c r="A13" s="70" t="inlineStr">
        <is>
          <t>T5</t>
        </is>
      </c>
      <c r="B13" s="70" t="inlineStr">
        <is>
          <t>관련 그래프 표시·노드 클릭</t>
        </is>
      </c>
      <c r="C13" s="70" t="inlineStr">
        <is>
          <t>그래프 표시, 노드 선택 상태와 상세 이동 동작</t>
        </is>
      </c>
      <c r="D13" s="70" t="inlineStr">
        <is>
          <t>B5</t>
        </is>
      </c>
      <c r="E13" s="71" t="n">
        <v>46315</v>
      </c>
      <c r="F13" s="71" t="n">
        <v>46323</v>
      </c>
      <c r="G13" s="70" t="inlineStr">
        <is>
          <t>G6, T4</t>
        </is>
      </c>
      <c r="H13" s="72" t="inlineStr">
        <is>
          <t>예정</t>
        </is>
      </c>
      <c r="I13" s="73" t="n">
        <v>0</v>
      </c>
      <c r="J13" s="70" t="inlineStr">
        <is>
          <t>선택된 노드가 무엇인지 화면에 표시</t>
        </is>
      </c>
    </row>
    <row r="14" ht="32" customHeight="1">
      <c r="A14" s="74" t="inlineStr">
        <is>
          <t>T6</t>
        </is>
      </c>
      <c r="B14" s="74" t="inlineStr">
        <is>
          <t>클릭 노드 상세 API</t>
        </is>
      </c>
      <c r="C14" s="74" t="inlineStr">
        <is>
          <t>선택 노드의 기사·영향 이유·근거·관련 종목 반환</t>
        </is>
      </c>
      <c r="D14" s="74" t="inlineStr">
        <is>
          <t>B4</t>
        </is>
      </c>
      <c r="E14" s="75" t="n">
        <v>46318</v>
      </c>
      <c r="F14" s="75" t="n">
        <v>46325</v>
      </c>
      <c r="G14" s="74" t="inlineStr">
        <is>
          <t>G5, N9 초안</t>
        </is>
      </c>
      <c r="H14" s="72" t="inlineStr">
        <is>
          <t>예정</t>
        </is>
      </c>
      <c r="I14" s="73" t="n">
        <v>0</v>
      </c>
      <c r="J14" s="74" t="inlineStr">
        <is>
          <t>노드 종류별 빈 값·오류 처리</t>
        </is>
      </c>
    </row>
    <row r="15" ht="32" customHeight="1">
      <c r="A15" s="70" t="inlineStr">
        <is>
          <t>T7</t>
        </is>
      </c>
      <c r="B15" s="70" t="inlineStr">
        <is>
          <t>노드 상세 화면</t>
        </is>
      </c>
      <c r="C15" s="70" t="inlineStr">
        <is>
          <t>클릭한 노드의 상세 내용·연결 뉴스 확인</t>
        </is>
      </c>
      <c r="D15" s="70" t="inlineStr">
        <is>
          <t>B3</t>
        </is>
      </c>
      <c r="E15" s="71" t="n">
        <v>46321</v>
      </c>
      <c r="F15" s="71" t="n">
        <v>46328</v>
      </c>
      <c r="G15" s="70" t="inlineStr">
        <is>
          <t>T5, T6 초안</t>
        </is>
      </c>
      <c r="H15" s="72" t="inlineStr">
        <is>
          <t>예정</t>
        </is>
      </c>
      <c r="I15" s="73" t="n">
        <v>0</v>
      </c>
      <c r="J15" s="70" t="inlineStr">
        <is>
          <t>원문 링크·영향 분석 근거 표시</t>
        </is>
      </c>
    </row>
    <row r="16" ht="32" customHeight="1">
      <c r="A16" s="74" t="inlineStr">
        <is>
          <t>T8</t>
        </is>
      </c>
      <c r="B16" s="74" t="inlineStr">
        <is>
          <t>튜토리얼 완료·메인 이동</t>
        </is>
      </c>
      <c r="C16" s="74" t="inlineStr">
        <is>
          <t>노드 상세 확인 뒤 완료 저장, 개인화 메인으로 이동</t>
        </is>
      </c>
      <c r="D16" s="74" t="inlineStr">
        <is>
          <t>B1</t>
        </is>
      </c>
      <c r="E16" s="75" t="n">
        <v>46324</v>
      </c>
      <c r="F16" s="75" t="n">
        <v>46328</v>
      </c>
      <c r="G16" s="74" t="inlineStr">
        <is>
          <t>T2, T7 초안</t>
        </is>
      </c>
      <c r="H16" s="72" t="inlineStr">
        <is>
          <t>예정</t>
        </is>
      </c>
      <c r="I16" s="73" t="n">
        <v>0</v>
      </c>
      <c r="J16" s="74" t="inlineStr">
        <is>
          <t>중간 이탈은 미완료로 유지</t>
        </is>
      </c>
    </row>
    <row r="17" ht="32" customHeight="1">
      <c r="A17" s="70" t="inlineStr">
        <is>
          <t>T9</t>
        </is>
      </c>
      <c r="B17" s="70" t="inlineStr">
        <is>
          <t>메인 관심종목 그래프·뉴스</t>
        </is>
      </c>
      <c r="C17" s="70" t="inlineStr">
        <is>
          <t>저장 종목 그래프와 관련 노드·뉴스·영향 결과 표시</t>
        </is>
      </c>
      <c r="D17" s="70" t="inlineStr">
        <is>
          <t>B5</t>
        </is>
      </c>
      <c r="E17" s="71" t="n">
        <v>46324</v>
      </c>
      <c r="F17" s="71" t="n">
        <v>46329</v>
      </c>
      <c r="G17" s="70" t="inlineStr">
        <is>
          <t>T4, N9, N11</t>
        </is>
      </c>
      <c r="H17" s="72" t="inlineStr">
        <is>
          <t>예정</t>
        </is>
      </c>
      <c r="I17" s="73" t="n">
        <v>0</v>
      </c>
      <c r="J17" s="70" t="inlineStr">
        <is>
          <t>재방문 시 바로 이 화면</t>
        </is>
      </c>
    </row>
    <row r="18" ht="32" customHeight="1">
      <c r="A18" s="74" t="inlineStr">
        <is>
          <t>T10</t>
        </is>
      </c>
      <c r="B18" s="74" t="inlineStr">
        <is>
          <t>전체 경로 통합 검증</t>
        </is>
      </c>
      <c r="C18" s="74" t="inlineStr">
        <is>
          <t>최초 로그인 1회·재방문 우회·0개 차단·노드 상세·메인 확인</t>
        </is>
      </c>
      <c r="D18" s="74" t="inlineStr">
        <is>
          <t>B2</t>
        </is>
      </c>
      <c r="E18" s="75" t="n">
        <v>46329</v>
      </c>
      <c r="F18" s="75" t="n">
        <v>46331</v>
      </c>
      <c r="G18" s="74" t="inlineStr">
        <is>
          <t>T1~T9</t>
        </is>
      </c>
      <c r="H18" s="72" t="inlineStr">
        <is>
          <t>예정</t>
        </is>
      </c>
      <c r="I18" s="73" t="n">
        <v>0</v>
      </c>
      <c r="J18" s="74" t="inlineStr">
        <is>
          <t>F1 사용성 확인, B3/B4 데이터·API 결함 수정</t>
        </is>
      </c>
    </row>
  </sheetData>
  <autoFilter ref="A8:J18"/>
  <dataValidations count="2">
    <dataValidation sqref="H9:H18" showDropDown="0" showInputMessage="0" showErrorMessage="0" allowBlank="0" type="list">
      <formula1>"예정,진행중,완료,지연,보류"</formula1>
    </dataValidation>
    <dataValidation sqref="I9:I18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654B4"/>
    <outlinePr summaryBelow="1" summaryRight="1"/>
    <pageSetUpPr/>
  </sheetPr>
  <dimension ref="A2:L16"/>
  <sheetViews>
    <sheetView showGridLines="0" workbookViewId="0">
      <pane xSplit="4" ySplit="8" topLeftCell="E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50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1" customWidth="1" min="10" max="10"/>
    <col width="11" customWidth="1" min="11" max="11"/>
    <col width="36" customWidth="1" min="12" max="12"/>
  </cols>
  <sheetData>
    <row r="2">
      <c r="A2" s="42" t="inlineStr">
        <is>
          <t>그래프 DB 구축 WBS</t>
        </is>
      </c>
    </row>
    <row r="3" ht="24" customHeight="1">
      <c r="A3" s="43" t="inlineStr">
        <is>
          <t>기준 범위</t>
        </is>
      </c>
      <c r="B3" s="44" t="inlineStr">
        <is>
          <t>기초 그래프: 종목 20~30개·검증용 뉴스 샘플. 자동 수집 뉴스는 N8에서 지속 적재</t>
        </is>
      </c>
    </row>
    <row r="4" ht="24" customHeight="1">
      <c r="A4" s="43" t="inlineStr">
        <is>
          <t>그래프 핵심 3명</t>
        </is>
      </c>
      <c r="B4" s="44" t="inlineStr">
        <is>
          <t>10월 6일~19일 · 9작업일</t>
        </is>
      </c>
    </row>
    <row r="5" ht="24" customHeight="1">
      <c r="A5" s="43" t="inlineStr">
        <is>
          <t>그래프 핵심 2명</t>
        </is>
      </c>
      <c r="B5" s="44" t="inlineStr">
        <is>
          <t>10월 6일~22일 · 12작업일</t>
        </is>
      </c>
    </row>
    <row r="6" ht="24" customHeight="1">
      <c r="A6" s="43" t="inlineStr">
        <is>
          <t>역할</t>
        </is>
      </c>
      <c r="B6" s="44" t="inlineStr">
        <is>
          <t>B2: 그래프 DB·통합  B3: 뉴스 데이터·튜토리얼  B4: 조회 API·mock 계좌  B5: 그래프·메인 화면</t>
        </is>
      </c>
    </row>
    <row r="7">
      <c r="A7" s="45" t="inlineStr">
        <is>
          <t>G8은 그래프 기반 인계입니다. 뉴스 자동 수집·분석 결과의 지속 적재와 전체 완성은 뉴스 자동화 일정의 N8~N12를 참조합니다.</t>
        </is>
      </c>
    </row>
    <row r="8" ht="30" customHeight="1">
      <c r="A8" s="46" t="inlineStr">
        <is>
          <t>WBS</t>
        </is>
      </c>
      <c r="B8" s="46" t="inlineStr">
        <is>
          <t>작업</t>
        </is>
      </c>
      <c r="C8" s="46" t="inlineStr">
        <is>
          <t>완료 기준</t>
        </is>
      </c>
      <c r="D8" s="46" t="inlineStr">
        <is>
          <t>담당 역할</t>
        </is>
      </c>
      <c r="E8" s="46" t="inlineStr">
        <is>
          <t>3명 시작</t>
        </is>
      </c>
      <c r="F8" s="46" t="inlineStr">
        <is>
          <t>3명 완료</t>
        </is>
      </c>
      <c r="G8" s="46" t="inlineStr">
        <is>
          <t>2명 시작</t>
        </is>
      </c>
      <c r="H8" s="46" t="inlineStr">
        <is>
          <t>2명 완료</t>
        </is>
      </c>
      <c r="I8" s="46" t="inlineStr">
        <is>
          <t>참조·의존</t>
        </is>
      </c>
      <c r="J8" s="46" t="inlineStr">
        <is>
          <t>상태</t>
        </is>
      </c>
      <c r="K8" s="46" t="inlineStr">
        <is>
          <t>진행률</t>
        </is>
      </c>
      <c r="L8" s="46" t="inlineStr">
        <is>
          <t>비고</t>
        </is>
      </c>
    </row>
    <row r="9" ht="28" customHeight="1">
      <c r="A9" s="47" t="inlineStr">
        <is>
          <t>G1</t>
        </is>
      </c>
      <c r="B9" s="47" t="inlineStr">
        <is>
          <t>관계 모델 설계</t>
        </is>
      </c>
      <c r="C9" s="47" t="inlineStr">
        <is>
          <t>기업·기사·사건 노드, 언급·영향 관계와 ID 규칙</t>
        </is>
      </c>
      <c r="D9" s="47" t="inlineStr">
        <is>
          <t>B2</t>
        </is>
      </c>
      <c r="E9" s="48" t="n">
        <v>46301</v>
      </c>
      <c r="F9" s="48" t="n">
        <v>46302</v>
      </c>
      <c r="G9" s="48" t="n">
        <v>46301</v>
      </c>
      <c r="H9" s="48" t="n">
        <v>46302</v>
      </c>
      <c r="I9" s="47" t="inlineStr">
        <is>
          <t>M1</t>
        </is>
      </c>
      <c r="J9" s="49" t="inlineStr">
        <is>
          <t>예정</t>
        </is>
      </c>
      <c r="K9" s="50" t="n">
        <v>0</v>
      </c>
      <c r="L9" s="47" t="inlineStr">
        <is>
          <t>B2 주도, B3 종목·기사 식별자 검토</t>
        </is>
      </c>
    </row>
    <row r="10" ht="28" customHeight="1">
      <c r="A10" s="51" t="inlineStr">
        <is>
          <t>G2</t>
        </is>
      </c>
      <c r="B10" s="51" t="inlineStr">
        <is>
          <t>기업·기사 샘플 정리</t>
        </is>
      </c>
      <c r="C10" s="51" t="inlineStr">
        <is>
          <t>종목 코드·별칭, 크롤러/분석 검증용 뉴스 샘플과 출처 정리</t>
        </is>
      </c>
      <c r="D10" s="51" t="inlineStr">
        <is>
          <t>B3</t>
        </is>
      </c>
      <c r="E10" s="52" t="n">
        <v>46301</v>
      </c>
      <c r="F10" s="52" t="n">
        <v>46308</v>
      </c>
      <c r="G10" s="52" t="n">
        <v>46301</v>
      </c>
      <c r="H10" s="52" t="n">
        <v>46308</v>
      </c>
      <c r="I10" s="51" t="inlineStr">
        <is>
          <t>G1 초안</t>
        </is>
      </c>
      <c r="J10" s="49" t="inlineStr">
        <is>
          <t>예정</t>
        </is>
      </c>
      <c r="K10" s="50" t="n">
        <v>0</v>
      </c>
      <c r="L10" s="51" t="inlineStr">
        <is>
          <t>자동 수집 파이프라인의 테스트 데이터로 사용</t>
        </is>
      </c>
    </row>
    <row r="11" ht="28" customHeight="1">
      <c r="A11" s="47" t="inlineStr">
        <is>
          <t>G3</t>
        </is>
      </c>
      <c r="B11" s="47" t="inlineStr">
        <is>
          <t>그래프 DB 설정·적재</t>
        </is>
      </c>
      <c r="C11" s="47" t="inlineStr">
        <is>
          <t>제약조건·인덱스·중복 방지·초기 데이터 적재</t>
        </is>
      </c>
      <c r="D11" s="47" t="inlineStr">
        <is>
          <t>B2</t>
        </is>
      </c>
      <c r="E11" s="48" t="n">
        <v>46303</v>
      </c>
      <c r="F11" s="48" t="n">
        <v>46308</v>
      </c>
      <c r="G11" s="48" t="n">
        <v>46303</v>
      </c>
      <c r="H11" s="48" t="n">
        <v>46308</v>
      </c>
      <c r="I11" s="47" t="inlineStr">
        <is>
          <t>G1, G2 일부</t>
        </is>
      </c>
      <c r="J11" s="49" t="inlineStr">
        <is>
          <t>예정</t>
        </is>
      </c>
      <c r="K11" s="50" t="n">
        <v>0</v>
      </c>
      <c r="L11" s="47" t="inlineStr">
        <is>
          <t>Neo4j 등 제품 선택 후 설치</t>
        </is>
      </c>
    </row>
    <row r="12" ht="28" customHeight="1">
      <c r="A12" s="51" t="inlineStr">
        <is>
          <t>G4</t>
        </is>
      </c>
      <c r="B12" s="51" t="inlineStr">
        <is>
          <t>뉴스·사건·기업 관계 검수</t>
        </is>
      </c>
      <c r="C12" s="51" t="inlineStr">
        <is>
          <t>사건별 영향 관계·이유·근거 링크 검수</t>
        </is>
      </c>
      <c r="D12" s="51" t="inlineStr">
        <is>
          <t>B3</t>
        </is>
      </c>
      <c r="E12" s="52" t="n">
        <v>46308</v>
      </c>
      <c r="F12" s="52" t="n">
        <v>46311</v>
      </c>
      <c r="G12" s="52" t="n">
        <v>46308</v>
      </c>
      <c r="H12" s="52" t="n">
        <v>46311</v>
      </c>
      <c r="I12" s="51" t="inlineStr">
        <is>
          <t>G2, G3</t>
        </is>
      </c>
      <c r="J12" s="49" t="inlineStr">
        <is>
          <t>예정</t>
        </is>
      </c>
      <c r="K12" s="50" t="n">
        <v>0</v>
      </c>
      <c r="L12" s="51" t="inlineStr">
        <is>
          <t>오연결·중복 확인</t>
        </is>
      </c>
    </row>
    <row r="13" ht="28" customHeight="1">
      <c r="A13" s="47" t="inlineStr">
        <is>
          <t>G5</t>
        </is>
      </c>
      <c r="B13" s="47" t="inlineStr">
        <is>
          <t>그래프 조회 API</t>
        </is>
      </c>
      <c r="C13" s="47" t="inlineStr">
        <is>
          <t>관심종목 관련 뉴스·이슈·영향 경로와 클릭한 노드의 상세 응답</t>
        </is>
      </c>
      <c r="D13" s="47" t="inlineStr">
        <is>
          <t>B4</t>
        </is>
      </c>
      <c r="E13" s="48" t="n">
        <v>46308</v>
      </c>
      <c r="F13" s="48" t="n">
        <v>46311</v>
      </c>
      <c r="G13" s="48" t="n">
        <v>46308</v>
      </c>
      <c r="H13" s="48" t="n">
        <v>46311</v>
      </c>
      <c r="I13" s="47" t="inlineStr">
        <is>
          <t>G3</t>
        </is>
      </c>
      <c r="J13" s="49" t="inlineStr">
        <is>
          <t>예정</t>
        </is>
      </c>
      <c r="K13" s="50" t="n">
        <v>0</v>
      </c>
      <c r="L13" s="47" t="inlineStr">
        <is>
          <t>튜토리얼/메인 공통 API. 노드 ID로 상세 기사·이유·근거 조회</t>
        </is>
      </c>
    </row>
    <row r="14" ht="28" customHeight="1">
      <c r="A14" s="51" t="inlineStr">
        <is>
          <t>G6</t>
        </is>
      </c>
      <c r="B14" s="51" t="inlineStr">
        <is>
          <t>클릭형 그래프·노드 상세 연결</t>
        </is>
      </c>
      <c r="C14" s="51" t="inlineStr">
        <is>
          <t>관심종목 그래프 표시, 노드 클릭→상세 화면 이동</t>
        </is>
      </c>
      <c r="D14" s="51" t="inlineStr">
        <is>
          <t>B5</t>
        </is>
      </c>
      <c r="E14" s="52" t="n">
        <v>46310</v>
      </c>
      <c r="F14" s="52" t="n">
        <v>46314</v>
      </c>
      <c r="G14" s="52" t="n">
        <v>46314</v>
      </c>
      <c r="H14" s="52" t="n">
        <v>46316</v>
      </c>
      <c r="I14" s="51" t="inlineStr">
        <is>
          <t>G4·G5 초안</t>
        </is>
      </c>
      <c r="J14" s="49" t="inlineStr">
        <is>
          <t>예정</t>
        </is>
      </c>
      <c r="K14" s="50" t="n">
        <v>0</v>
      </c>
      <c r="L14" s="51" t="inlineStr">
        <is>
          <t>B5 그래프 상호작용, B3 상세 화면, F1 UI 검토</t>
        </is>
      </c>
    </row>
    <row r="15" ht="28" customHeight="1">
      <c r="A15" s="47" t="inlineStr">
        <is>
          <t>G7</t>
        </is>
      </c>
      <c r="B15" s="47" t="inlineStr">
        <is>
          <t>통합 테스트·수정</t>
        </is>
      </c>
      <c r="C15" s="47" t="inlineStr">
        <is>
          <t>대표 종목 경로·노드 클릭·상세·빈 결과 확인</t>
        </is>
      </c>
      <c r="D15" s="47" t="inlineStr">
        <is>
          <t>B2</t>
        </is>
      </c>
      <c r="E15" s="48" t="n">
        <v>46311</v>
      </c>
      <c r="F15" s="48" t="n">
        <v>46314</v>
      </c>
      <c r="G15" s="48" t="n">
        <v>46316</v>
      </c>
      <c r="H15" s="48" t="n">
        <v>46317</v>
      </c>
      <c r="I15" s="47" t="inlineStr">
        <is>
          <t>G4, G5, G6</t>
        </is>
      </c>
      <c r="J15" s="49" t="inlineStr">
        <is>
          <t>예정</t>
        </is>
      </c>
      <c r="K15" s="50" t="n">
        <v>0</v>
      </c>
      <c r="L15" s="47" t="inlineStr">
        <is>
          <t>B2 통합 테스트 주도, B3 데이터·B4 API·B5 화면 확인</t>
        </is>
      </c>
    </row>
    <row r="16" ht="28" customHeight="1">
      <c r="A16" s="53" t="inlineStr">
        <is>
          <t>G8</t>
        </is>
      </c>
      <c r="B16" s="53" t="inlineStr">
        <is>
          <t>기초 그래프 인계</t>
        </is>
      </c>
      <c r="C16" s="53" t="inlineStr">
        <is>
          <t>관심종목→관련 그래프→노드 상세 시연, 자동 적재는 N8에서 연계</t>
        </is>
      </c>
      <c r="D16" s="53" t="inlineStr">
        <is>
          <t>전체</t>
        </is>
      </c>
      <c r="E16" s="54" t="n">
        <v>46314</v>
      </c>
      <c r="F16" s="54" t="n">
        <v>46314</v>
      </c>
      <c r="G16" s="54" t="n">
        <v>46317</v>
      </c>
      <c r="H16" s="54" t="n">
        <v>46317</v>
      </c>
      <c r="I16" s="53" t="inlineStr">
        <is>
          <t>G7</t>
        </is>
      </c>
      <c r="J16" s="53" t="inlineStr">
        <is>
          <t>예정</t>
        </is>
      </c>
      <c r="K16" s="55" t="n">
        <v>0</v>
      </c>
      <c r="L16" s="53" t="inlineStr">
        <is>
          <t>GraphDB 최종 완료가 아닌 기반 인계. 뉴스 자동화는 N8~N12</t>
        </is>
      </c>
    </row>
  </sheetData>
  <autoFilter ref="A8:L16"/>
  <dataValidations count="2">
    <dataValidation sqref="J9:J16" showDropDown="0" showInputMessage="0" showErrorMessage="0" allowBlank="0" type="list">
      <formula1>"예정,진행중,완료,지연,보류"</formula1>
    </dataValidation>
    <dataValidation sqref="K9:K16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9A84"/>
    <outlinePr summaryBelow="1" summaryRight="1"/>
    <pageSetUpPr/>
  </sheetPr>
  <dimension ref="A2:J20"/>
  <sheetViews>
    <sheetView showGridLines="0" workbookViewId="0">
      <pane xSplit="4" ySplit="8" topLeftCell="E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53" customWidth="1" min="3" max="3"/>
    <col width="12" customWidth="1" min="4" max="4"/>
    <col width="15" customWidth="1" min="5" max="5"/>
    <col width="15" customWidth="1" min="6" max="6"/>
    <col width="20" customWidth="1" min="7" max="7"/>
    <col width="11" customWidth="1" min="8" max="8"/>
    <col width="11" customWidth="1" min="9" max="9"/>
    <col width="42" customWidth="1" min="10" max="10"/>
  </cols>
  <sheetData>
    <row r="2">
      <c r="A2" s="42" t="inlineStr">
        <is>
          <t>뉴스 자동 수집 · 종목별 영향 분석 WBS</t>
        </is>
      </c>
    </row>
    <row r="3" ht="24" customHeight="1">
      <c r="A3" s="60" t="inlineStr">
        <is>
          <t>MVP 범위</t>
        </is>
      </c>
      <c r="B3" s="44" t="inlineStr">
        <is>
          <t>확정한 뉴스 출처 1~2곳에서 정기 수집 → 정제/중복 제거 → 종목 연결 → 이슈·영향 분석 → GraphDB/화면 반영</t>
        </is>
      </c>
    </row>
    <row r="4" ht="24" customHeight="1">
      <c r="A4" s="60" t="inlineStr">
        <is>
          <t>분석 결과</t>
        </is>
      </c>
      <c r="B4" s="44" t="inlineStr">
        <is>
          <t>종목·기사·핵심 이슈·영향 방향(긍정/부정/중립)·이유·근거 링크·분석 시각</t>
        </is>
      </c>
    </row>
    <row r="5" ht="24" customHeight="1">
      <c r="A5" s="60" t="inlineStr">
        <is>
          <t>운영 기준</t>
        </is>
      </c>
      <c r="B5" s="44" t="inlineStr">
        <is>
          <t>새 기사 자동 반영, 실패 재시도·중복 방지·작업 상태 확인. 대표 기사 수동 검수</t>
        </is>
      </c>
    </row>
    <row r="6" ht="24" customHeight="1">
      <c r="A6" s="60" t="inlineStr">
        <is>
          <t>선행 조건</t>
        </is>
      </c>
      <c r="B6" s="44" t="inlineStr">
        <is>
          <t>9/30~10/2 뉴스 출처·접근 방법·분석 기준 확정. 출처 미확정 시 이후 일정 재산정</t>
        </is>
      </c>
    </row>
    <row r="7">
      <c r="A7" s="45" t="inlineStr">
        <is>
          <t>10/19 G8은 GraphDB 기반 인계, 11/3 N9~N11은 자동 수집·분석 통합 목표입니다. 11/4~5 검증 후 11/6 MVP를 시연합니다.</t>
        </is>
      </c>
    </row>
    <row r="8" ht="30" customHeight="1">
      <c r="A8" s="61" t="inlineStr">
        <is>
          <t>WBS</t>
        </is>
      </c>
      <c r="B8" s="61" t="inlineStr">
        <is>
          <t>작업</t>
        </is>
      </c>
      <c r="C8" s="61" t="inlineStr">
        <is>
          <t>완료 기준</t>
        </is>
      </c>
      <c r="D8" s="61" t="inlineStr">
        <is>
          <t>주담당</t>
        </is>
      </c>
      <c r="E8" s="61" t="inlineStr">
        <is>
          <t>시작</t>
        </is>
      </c>
      <c r="F8" s="61" t="inlineStr">
        <is>
          <t>완료</t>
        </is>
      </c>
      <c r="G8" s="61" t="inlineStr">
        <is>
          <t>의존</t>
        </is>
      </c>
      <c r="H8" s="61" t="inlineStr">
        <is>
          <t>상태</t>
        </is>
      </c>
      <c r="I8" s="61" t="inlineStr">
        <is>
          <t>진행률</t>
        </is>
      </c>
      <c r="J8" s="61" t="inlineStr">
        <is>
          <t>비고</t>
        </is>
      </c>
    </row>
    <row r="9" ht="32" customHeight="1">
      <c r="A9" s="62" t="inlineStr">
        <is>
          <t>N1</t>
        </is>
      </c>
      <c r="B9" s="62" t="inlineStr">
        <is>
          <t>뉴스 출처·분석 기준 확정</t>
        </is>
      </c>
      <c r="C9" s="62" t="inlineStr">
        <is>
          <t>출처 1~2곳, 수집 범위·주기, 종목별 영향 분류 기준 확정</t>
        </is>
      </c>
      <c r="D9" s="62" t="inlineStr">
        <is>
          <t>B3</t>
        </is>
      </c>
      <c r="E9" s="63" t="n">
        <v>46295</v>
      </c>
      <c r="F9" s="63" t="n">
        <v>46297</v>
      </c>
      <c r="G9" s="62" t="inlineStr">
        <is>
          <t>M1 초안</t>
        </is>
      </c>
      <c r="H9" s="64" t="inlineStr">
        <is>
          <t>예정</t>
        </is>
      </c>
      <c r="I9" s="65" t="n">
        <v>0</v>
      </c>
      <c r="J9" s="62" t="inlineStr">
        <is>
          <t>A1 분석 기준, B2 ID 규칙 검토</t>
        </is>
      </c>
    </row>
    <row r="10" ht="32" customHeight="1">
      <c r="A10" s="66" t="inlineStr">
        <is>
          <t>N2</t>
        </is>
      </c>
      <c r="B10" s="66" t="inlineStr">
        <is>
          <t>뉴스 크롤러 구현</t>
        </is>
      </c>
      <c r="C10" s="66" t="inlineStr">
        <is>
          <t>선정 출처에서 제목·본문·일시·원문 링크 자동 수집</t>
        </is>
      </c>
      <c r="D10" s="66" t="inlineStr">
        <is>
          <t>B3</t>
        </is>
      </c>
      <c r="E10" s="67" t="n">
        <v>46301</v>
      </c>
      <c r="F10" s="67" t="n">
        <v>46308</v>
      </c>
      <c r="G10" s="66" t="inlineStr">
        <is>
          <t>N1</t>
        </is>
      </c>
      <c r="H10" s="64" t="inlineStr">
        <is>
          <t>예정</t>
        </is>
      </c>
      <c r="I10" s="65" t="n">
        <v>0</v>
      </c>
      <c r="J10" s="66" t="inlineStr">
        <is>
          <t>출처별 수집 오류·형식 변경 확인</t>
        </is>
      </c>
    </row>
    <row r="11" ht="32" customHeight="1">
      <c r="A11" s="62" t="inlineStr">
        <is>
          <t>N3</t>
        </is>
      </c>
      <c r="B11" s="62" t="inlineStr">
        <is>
          <t>정기 실행·재시도</t>
        </is>
      </c>
      <c r="C11" s="62" t="inlineStr">
        <is>
          <t>수집 작업을 자동 실행하고 실패 시 재시도·상태 기록</t>
        </is>
      </c>
      <c r="D11" s="62" t="inlineStr">
        <is>
          <t>B4</t>
        </is>
      </c>
      <c r="E11" s="63" t="n">
        <v>46307</v>
      </c>
      <c r="F11" s="63" t="n">
        <v>46314</v>
      </c>
      <c r="G11" s="62" t="inlineStr">
        <is>
          <t>N2 초안</t>
        </is>
      </c>
      <c r="H11" s="64" t="inlineStr">
        <is>
          <t>예정</t>
        </is>
      </c>
      <c r="I11" s="65" t="n">
        <v>0</v>
      </c>
      <c r="J11" s="62" t="inlineStr">
        <is>
          <t>A1 스테이징 환경 지원</t>
        </is>
      </c>
    </row>
    <row r="12" ht="32" customHeight="1">
      <c r="A12" s="66" t="inlineStr">
        <is>
          <t>N4</t>
        </is>
      </c>
      <c r="B12" s="66" t="inlineStr">
        <is>
          <t>정제·중복 제거</t>
        </is>
      </c>
      <c r="C12" s="66" t="inlineStr">
        <is>
          <t>기사 형식 통일, 중복·빈 본문·잘못된 날짜 제거</t>
        </is>
      </c>
      <c r="D12" s="66" t="inlineStr">
        <is>
          <t>B3</t>
        </is>
      </c>
      <c r="E12" s="67" t="n">
        <v>46308</v>
      </c>
      <c r="F12" s="67" t="n">
        <v>46315</v>
      </c>
      <c r="G12" s="66" t="inlineStr">
        <is>
          <t>N2</t>
        </is>
      </c>
      <c r="H12" s="64" t="inlineStr">
        <is>
          <t>예정</t>
        </is>
      </c>
      <c r="I12" s="65" t="n">
        <v>0</v>
      </c>
      <c r="J12" s="66" t="inlineStr">
        <is>
          <t>원문 링크와 수집 시각 유지</t>
        </is>
      </c>
    </row>
    <row r="13" ht="32" customHeight="1">
      <c r="A13" s="62" t="inlineStr">
        <is>
          <t>N5</t>
        </is>
      </c>
      <c r="B13" s="62" t="inlineStr">
        <is>
          <t>기사·종목 연결</t>
        </is>
      </c>
      <c r="C13" s="62" t="inlineStr">
        <is>
          <t>기업명·별칭·종목 코드 매칭, 다중 종목 기사 처리</t>
        </is>
      </c>
      <c r="D13" s="62" t="inlineStr">
        <is>
          <t>B2</t>
        </is>
      </c>
      <c r="E13" s="63" t="n">
        <v>46311</v>
      </c>
      <c r="F13" s="63" t="n">
        <v>46318</v>
      </c>
      <c r="G13" s="62" t="inlineStr">
        <is>
          <t>N4, G1</t>
        </is>
      </c>
      <c r="H13" s="64" t="inlineStr">
        <is>
          <t>예정</t>
        </is>
      </c>
      <c r="I13" s="65" t="n">
        <v>0</v>
      </c>
      <c r="J13" s="62" t="inlineStr">
        <is>
          <t>매칭 실패는 검수 대상으로 분리</t>
        </is>
      </c>
    </row>
    <row r="14" ht="32" customHeight="1">
      <c r="A14" s="66" t="inlineStr">
        <is>
          <t>N6</t>
        </is>
      </c>
      <c r="B14" s="66" t="inlineStr">
        <is>
          <t>이슈·영향 자동 분석</t>
        </is>
      </c>
      <c r="C14" s="66" t="inlineStr">
        <is>
          <t>종목별 핵심 이슈·영향 방향·이유·근거 문장 생성</t>
        </is>
      </c>
      <c r="D14" s="66" t="inlineStr">
        <is>
          <t>A1</t>
        </is>
      </c>
      <c r="E14" s="67" t="n">
        <v>46311</v>
      </c>
      <c r="F14" s="67" t="n">
        <v>46322</v>
      </c>
      <c r="G14" s="66" t="inlineStr">
        <is>
          <t>N1, N4 초안</t>
        </is>
      </c>
      <c r="H14" s="64" t="inlineStr">
        <is>
          <t>예정</t>
        </is>
      </c>
      <c r="I14" s="65" t="n">
        <v>0</v>
      </c>
      <c r="J14" s="66" t="inlineStr">
        <is>
          <t>AI 질문 예시 답변과 별도 기능</t>
        </is>
      </c>
    </row>
    <row r="15" ht="32" customHeight="1">
      <c r="A15" s="62" t="inlineStr">
        <is>
          <t>N7</t>
        </is>
      </c>
      <c r="B15" s="62" t="inlineStr">
        <is>
          <t>분석 결과 품질 검수</t>
        </is>
      </c>
      <c r="C15" s="62" t="inlineStr">
        <is>
          <t>대표 기사에서 종목 연결·영향 방향·이유·근거 확인</t>
        </is>
      </c>
      <c r="D15" s="62" t="inlineStr">
        <is>
          <t>A1</t>
        </is>
      </c>
      <c r="E15" s="63" t="n">
        <v>46317</v>
      </c>
      <c r="F15" s="63" t="n">
        <v>46324</v>
      </c>
      <c r="G15" s="62" t="inlineStr">
        <is>
          <t>N5, N6</t>
        </is>
      </c>
      <c r="H15" s="64" t="inlineStr">
        <is>
          <t>예정</t>
        </is>
      </c>
      <c r="I15" s="65" t="n">
        <v>0</v>
      </c>
      <c r="J15" s="62" t="inlineStr">
        <is>
          <t>오분류·근거 없음·중립 사례 보완</t>
        </is>
      </c>
    </row>
    <row r="16" ht="32" customHeight="1">
      <c r="A16" s="66" t="inlineStr">
        <is>
          <t>N8</t>
        </is>
      </c>
      <c r="B16" s="66" t="inlineStr">
        <is>
          <t>GraphDB 자동 적재</t>
        </is>
      </c>
      <c r="C16" s="66" t="inlineStr">
        <is>
          <t>새 기사·이슈·영향 관계를 중복 없이 갱신</t>
        </is>
      </c>
      <c r="D16" s="66" t="inlineStr">
        <is>
          <t>B2</t>
        </is>
      </c>
      <c r="E16" s="67" t="n">
        <v>46318</v>
      </c>
      <c r="F16" s="67" t="n">
        <v>46324</v>
      </c>
      <c r="G16" s="66" t="inlineStr">
        <is>
          <t>G8, N5, N6</t>
        </is>
      </c>
      <c r="H16" s="64" t="inlineStr">
        <is>
          <t>예정</t>
        </is>
      </c>
      <c r="I16" s="65" t="n">
        <v>0</v>
      </c>
      <c r="J16" s="66" t="inlineStr">
        <is>
          <t>기사 원문 링크와 분석 시각 저장</t>
        </is>
      </c>
    </row>
    <row r="17" ht="32" customHeight="1">
      <c r="A17" s="62" t="inlineStr">
        <is>
          <t>N9</t>
        </is>
      </c>
      <c r="B17" s="62" t="inlineStr">
        <is>
          <t>분석 결과 조회 API</t>
        </is>
      </c>
      <c r="C17" s="62" t="inlineStr">
        <is>
          <t>종목별 최신 기사·영향 방향·이유·근거 응답</t>
        </is>
      </c>
      <c r="D17" s="62" t="inlineStr">
        <is>
          <t>B4</t>
        </is>
      </c>
      <c r="E17" s="63" t="n">
        <v>46321</v>
      </c>
      <c r="F17" s="63" t="n">
        <v>46328</v>
      </c>
      <c r="G17" s="62" t="inlineStr">
        <is>
          <t>N7, N8</t>
        </is>
      </c>
      <c r="H17" s="64" t="inlineStr">
        <is>
          <t>예정</t>
        </is>
      </c>
      <c r="I17" s="65" t="n">
        <v>0</v>
      </c>
      <c r="J17" s="62" t="inlineStr">
        <is>
          <t>빈 결과·수집 지연 상태도 반환</t>
        </is>
      </c>
    </row>
    <row r="18" ht="32" customHeight="1">
      <c r="A18" s="66" t="inlineStr">
        <is>
          <t>N10</t>
        </is>
      </c>
      <c r="B18" s="66" t="inlineStr">
        <is>
          <t>수집 상태·오류 확인</t>
        </is>
      </c>
      <c r="C18" s="66" t="inlineStr">
        <is>
          <t>최종 성공 시각·실패 건·재처리 방법 확인</t>
        </is>
      </c>
      <c r="D18" s="66" t="inlineStr">
        <is>
          <t>B1</t>
        </is>
      </c>
      <c r="E18" s="67" t="n">
        <v>46324</v>
      </c>
      <c r="F18" s="67" t="n">
        <v>46328</v>
      </c>
      <c r="G18" s="66" t="inlineStr">
        <is>
          <t>N3, N8</t>
        </is>
      </c>
      <c r="H18" s="64" t="inlineStr">
        <is>
          <t>예정</t>
        </is>
      </c>
      <c r="I18" s="65" t="n">
        <v>0</v>
      </c>
      <c r="J18" s="66" t="inlineStr">
        <is>
          <t>운영 인계 자료에 복구 절차 포함</t>
        </is>
      </c>
    </row>
    <row r="19" ht="32" customHeight="1">
      <c r="A19" s="62" t="inlineStr">
        <is>
          <t>N11</t>
        </is>
      </c>
      <c r="B19" s="62" t="inlineStr">
        <is>
          <t>영향 분석 화면 표시</t>
        </is>
      </c>
      <c r="C19" s="62" t="inlineStr">
        <is>
          <t>종목별 영향 카드·기사 링크·분석 시각 표시</t>
        </is>
      </c>
      <c r="D19" s="62" t="inlineStr">
        <is>
          <t>B5</t>
        </is>
      </c>
      <c r="E19" s="63" t="n">
        <v>46324</v>
      </c>
      <c r="F19" s="63" t="n">
        <v>46328</v>
      </c>
      <c r="G19" s="62" t="inlineStr">
        <is>
          <t>N9 초안</t>
        </is>
      </c>
      <c r="H19" s="64" t="inlineStr">
        <is>
          <t>예정</t>
        </is>
      </c>
      <c r="I19" s="65" t="n">
        <v>0</v>
      </c>
      <c r="J19" s="62" t="inlineStr">
        <is>
          <t>F1 UI 규칙·접근성 검토</t>
        </is>
      </c>
    </row>
    <row r="20" ht="32" customHeight="1">
      <c r="A20" s="66" t="inlineStr">
        <is>
          <t>N12</t>
        </is>
      </c>
      <c r="B20" s="66" t="inlineStr">
        <is>
          <t>자동 수집→시연 검증</t>
        </is>
      </c>
      <c r="C20" s="66" t="inlineStr">
        <is>
          <t>새 기사 수집부터 분석·GraphDB·화면 반영까지 검증</t>
        </is>
      </c>
      <c r="D20" s="66" t="inlineStr">
        <is>
          <t>F1</t>
        </is>
      </c>
      <c r="E20" s="67" t="n">
        <v>46329</v>
      </c>
      <c r="F20" s="67" t="n">
        <v>46331</v>
      </c>
      <c r="G20" s="66" t="inlineStr">
        <is>
          <t>N9, N10, N11</t>
        </is>
      </c>
      <c r="H20" s="64" t="inlineStr">
        <is>
          <t>예정</t>
        </is>
      </c>
      <c r="I20" s="65" t="n">
        <v>0</v>
      </c>
      <c r="J20" s="66" t="inlineStr">
        <is>
          <t>B2~B4 결함 수정, A1 분석 결과 검수</t>
        </is>
      </c>
    </row>
  </sheetData>
  <autoFilter ref="A8:J20"/>
  <dataValidations count="2">
    <dataValidation sqref="H9:H20" showDropDown="0" showInputMessage="0" showErrorMessage="0" allowBlank="0" type="list">
      <formula1>"예정,진행중,완료,지연,보류"</formula1>
    </dataValidation>
    <dataValidation sqref="I9:I20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7DCF"/>
    <outlinePr summaryBelow="1" summaryRight="1"/>
    <pageSetUpPr/>
  </sheetPr>
  <dimension ref="A2:G16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48" customWidth="1" min="3" max="3"/>
    <col width="45" customWidth="1" min="4" max="4"/>
    <col width="17" customWidth="1" min="5" max="5"/>
    <col width="37" customWidth="1" min="6" max="6"/>
    <col width="17" customWidth="1" min="7" max="7"/>
  </cols>
  <sheetData>
    <row r="2">
      <c r="A2" s="42" t="inlineStr">
        <is>
          <t>7명 배분 · 첫 로그인 튜토리얼 반영</t>
        </is>
      </c>
    </row>
    <row r="3" ht="24" customHeight="1">
      <c r="A3" s="43" t="inlineStr">
        <is>
          <t>배분 기준</t>
        </is>
      </c>
      <c r="B3" s="44" t="inlineStr">
        <is>
          <t>주담당 1명 기준. 뉴스 자동화 추가로 담당 건수가 달라졌으며, 작업일·난이도를 함께 확인해 조정.</t>
        </is>
      </c>
    </row>
    <row r="4" ht="24" customHeight="1">
      <c r="A4" s="43" t="inlineStr">
        <is>
          <t>MVP 범위</t>
        </is>
      </c>
      <c r="B4" s="44" t="inlineStr">
        <is>
          <t>가상계좌 mock, 뉴스 자동 수집·종목별 영향 분석, 첫 로그인 1회 튜토리얼, AI 질문 예시 답변.</t>
        </is>
      </c>
    </row>
    <row r="5" ht="24" customHeight="1">
      <c r="A5" s="43" t="inlineStr">
        <is>
          <t>프론트 지원</t>
        </is>
      </c>
      <c r="B5" s="44" t="inlineStr">
        <is>
          <t>F1은 공통 UI·로그인·관심종목 선택. B3 노드 상세, B4 상세 API, B5 그래프·개인화 메인 담당.</t>
        </is>
      </c>
    </row>
    <row r="7" ht="30" customHeight="1">
      <c r="A7" s="46" t="inlineStr">
        <is>
          <t>ID</t>
        </is>
      </c>
      <c r="B7" s="46" t="inlineStr">
        <is>
          <t>주 담당</t>
        </is>
      </c>
      <c r="C7" s="46" t="inlineStr">
        <is>
          <t>주담당 작업</t>
        </is>
      </c>
      <c r="D7" s="46" t="inlineStr">
        <is>
          <t>협업·인계</t>
        </is>
      </c>
      <c r="E7" s="46" t="inlineStr">
        <is>
          <t>집중 기간</t>
        </is>
      </c>
      <c r="F7" s="46" t="inlineStr">
        <is>
          <t>완료 기준</t>
        </is>
      </c>
      <c r="G7" s="46" t="inlineStr">
        <is>
          <t>주담당 건수</t>
        </is>
      </c>
    </row>
    <row r="8" ht="30" customHeight="1">
      <c r="A8" s="56" t="inlineStr">
        <is>
          <t>F1</t>
        </is>
      </c>
      <c r="B8" s="56" t="inlineStr">
        <is>
          <t>프론트</t>
        </is>
      </c>
      <c r="C8" s="56" t="inlineStr">
        <is>
          <t>공통 UI·로그인·관심종목 선택·최초 사용자 흐름 사용성 확인</t>
        </is>
      </c>
      <c r="D8" s="56" t="inlineStr">
        <is>
          <t>B3·B4·B5 화면 UI 검토</t>
        </is>
      </c>
      <c r="E8" s="56" t="inlineStr">
        <is>
          <t>10/6~11/4</t>
        </is>
      </c>
      <c r="F8" s="56" t="inlineStr">
        <is>
          <t>공통 UI·핵심 화면·자동 뉴스 흐름 검증</t>
        </is>
      </c>
      <c r="G8" s="58">
        <f>COUNTIF(WBS!$F$9:$F$44,A8)+COUNTIF('그래프DB 일정'!$D$9:$D$15,A8)+COUNTIF('뉴스 자동수집·분석'!$D$9:$D$20,A8)</f>
        <v/>
      </c>
    </row>
    <row r="9" ht="30" customHeight="1">
      <c r="A9" s="57" t="inlineStr">
        <is>
          <t>A1</t>
        </is>
      </c>
      <c r="B9" s="57" t="inlineStr">
        <is>
          <t>AI·클라우드</t>
        </is>
      </c>
      <c r="C9" s="57" t="inlineStr">
        <is>
          <t>개발 환경·AI 질문 예시 답변·뉴스 영향 분석·배포</t>
        </is>
      </c>
      <c r="D9" s="57" t="inlineStr">
        <is>
          <t>B3 수집 데이터, B2 그래프 적재 연계</t>
        </is>
      </c>
      <c r="E9" s="57" t="inlineStr">
        <is>
          <t>10/1~11/6</t>
        </is>
      </c>
      <c r="F9" s="57" t="inlineStr">
        <is>
          <t>종목별 영향 방향·이유·근거 분석 검수</t>
        </is>
      </c>
      <c r="G9" s="59">
        <f>COUNTIF(WBS!$F$9:$F$44,A9)+COUNTIF('그래프DB 일정'!$D$9:$D$15,A9)+COUNTIF('뉴스 자동수집·분석'!$D$9:$D$20,A9)</f>
        <v/>
      </c>
    </row>
    <row r="10" ht="30" customHeight="1">
      <c r="A10" s="56" t="inlineStr">
        <is>
          <t>B1</t>
        </is>
      </c>
      <c r="B10" s="56" t="inlineStr">
        <is>
          <t>백엔드 1</t>
        </is>
      </c>
      <c r="C10" s="56" t="inlineStr">
        <is>
          <t>인증·최초/재방문 분기·튜토리얼 완료 상태 API</t>
        </is>
      </c>
      <c r="D10" s="56" t="inlineStr">
        <is>
          <t>B4 정기 실행 결과 인계</t>
        </is>
      </c>
      <c r="E10" s="56" t="inlineStr">
        <is>
          <t>10/1~11/3</t>
        </is>
      </c>
      <c r="F10" s="56" t="inlineStr">
        <is>
          <t>인증 API와 수집 상태·복구 절차 완료</t>
        </is>
      </c>
      <c r="G10" s="58">
        <f>COUNTIF(WBS!$F$9:$F$44,A10)+COUNTIF('그래프DB 일정'!$D$9:$D$15,A10)+COUNTIF('뉴스 자동수집·분석'!$D$9:$D$20,A10)</f>
        <v/>
      </c>
    </row>
    <row r="11" ht="30" customHeight="1">
      <c r="A11" s="57" t="inlineStr">
        <is>
          <t>B2</t>
        </is>
      </c>
      <c r="B11" s="57" t="inlineStr">
        <is>
          <t>백엔드 2</t>
        </is>
      </c>
      <c r="C11" s="57" t="inlineStr">
        <is>
          <t>그래프 모델·종목별 관계 조회·개인화 메인 통합</t>
        </is>
      </c>
      <c r="D11" s="57" t="inlineStr">
        <is>
          <t>B3 정제 기사, A1 분석 결과 연계</t>
        </is>
      </c>
      <c r="E11" s="57" t="inlineStr">
        <is>
          <t>10/6~11/5</t>
        </is>
      </c>
      <c r="F11" s="57" t="inlineStr">
        <is>
          <t>자동 수집 분석 결과가 그래프에 갱신</t>
        </is>
      </c>
      <c r="G11" s="59">
        <f>COUNTIF(WBS!$F$9:$F$44,A11)+COUNTIF('그래프DB 일정'!$D$9:$D$15,A11)+COUNTIF('뉴스 자동수집·분석'!$D$9:$D$20,A11)</f>
        <v/>
      </c>
    </row>
    <row r="12" ht="30" customHeight="1">
      <c r="A12" s="56" t="inlineStr">
        <is>
          <t>B3</t>
        </is>
      </c>
      <c r="B12" s="56" t="inlineStr">
        <is>
          <t>백엔드 3</t>
        </is>
      </c>
      <c r="C12" s="56" t="inlineStr">
        <is>
          <t>뉴스 수집·정제, 튜토리얼 노드 상세 화면</t>
        </is>
      </c>
      <c r="D12" s="56" t="inlineStr">
        <is>
          <t>A1 영향 기준, F1 화면 UI 검토</t>
        </is>
      </c>
      <c r="E12" s="56" t="inlineStr">
        <is>
          <t>10/6~11/4</t>
        </is>
      </c>
      <c r="F12" s="56" t="inlineStr">
        <is>
          <t>출처 뉴스 자동 수집·정제 및 화면 완료</t>
        </is>
      </c>
      <c r="G12" s="58">
        <f>COUNTIF(WBS!$F$9:$F$44,A12)+COUNTIF('그래프DB 일정'!$D$9:$D$15,A12)+COUNTIF('뉴스 자동수집·분석'!$D$9:$D$20,A12)</f>
        <v/>
      </c>
    </row>
    <row r="13" ht="30" customHeight="1">
      <c r="A13" s="57" t="inlineStr">
        <is>
          <t>B4</t>
        </is>
      </c>
      <c r="B13" s="57" t="inlineStr">
        <is>
          <t>백엔드 4</t>
        </is>
      </c>
      <c r="C13" s="57" t="inlineStr">
        <is>
          <t>그래프 조회·클릭 노드 상세 API, mock 계좌</t>
        </is>
      </c>
      <c r="D13" s="57" t="inlineStr">
        <is>
          <t>B2 그래프 적재, F1 UI 검토</t>
        </is>
      </c>
      <c r="E13" s="57" t="inlineStr">
        <is>
          <t>9/30~11/2</t>
        </is>
      </c>
      <c r="F13" s="57" t="inlineStr">
        <is>
          <t>수집·분석 조회 API와 계좌 연동 완료</t>
        </is>
      </c>
      <c r="G13" s="59">
        <f>COUNTIF(WBS!$F$9:$F$44,A13)+COUNTIF('그래프DB 일정'!$D$9:$D$15,A13)+COUNTIF('뉴스 자동수집·분석'!$D$9:$D$20,A13)</f>
        <v/>
      </c>
    </row>
    <row r="14" ht="30" customHeight="1">
      <c r="A14" s="56" t="inlineStr">
        <is>
          <t>B5</t>
        </is>
      </c>
      <c r="B14" s="56" t="inlineStr">
        <is>
          <t>백엔드 5·지원</t>
        </is>
      </c>
      <c r="C14" s="56" t="inlineStr">
        <is>
          <t>그래프 노드 클릭·개인화 메인·뉴스 영향 화면</t>
        </is>
      </c>
      <c r="D14" s="56" t="inlineStr">
        <is>
          <t>B4 분석 API, F1 공통 UI 활용</t>
        </is>
      </c>
      <c r="E14" s="56" t="inlineStr">
        <is>
          <t>9/29~11/4</t>
        </is>
      </c>
      <c r="F14" s="56" t="inlineStr">
        <is>
          <t>뉴스 영향 카드·메인 표시·접근성 확인</t>
        </is>
      </c>
      <c r="G14" s="58">
        <f>COUNTIF(WBS!$F$9:$F$44,A14)+COUNTIF('그래프DB 일정'!$D$9:$D$15,A14)+COUNTIF('뉴스 자동수집·분석'!$D$9:$D$20,A14)</f>
        <v/>
      </c>
    </row>
    <row r="16">
      <c r="A16" s="45" t="inlineStr">
        <is>
          <t>주담당 건수는 기본 WBS·GraphDB·뉴스 자동화 기준입니다. 튜토리얼 탭은 같은 작업을 사용자 순서로 푼 상세 일정이므로 중복 집계하지 않습니다.</t>
        </is>
      </c>
    </row>
  </sheetData>
  <autoFilter ref="A7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2026-09-29T00:40:03Z</dcterms:created>
  <dcterms:modified xmlns:dcterms="http://purl.org/dc/terms/" xmlns:xsi="http://www.w3.org/2001/XMLSchema-instance" xsi:type="dcterms:W3CDTF">2026-09-29T04:32:58Z</dcterms:modified>
</cp:coreProperties>
</file>