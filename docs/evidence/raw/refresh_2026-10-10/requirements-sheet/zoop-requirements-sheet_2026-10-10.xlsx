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정의서" sheetId="1" r:id="rId5"/>
    <sheet state="visible" name="검증 기준" sheetId="2" r:id="rId6"/>
    <sheet state="visible" name="정책 결정" sheetId="3" r:id="rId7"/>
  </sheets>
  <definedNames>
    <definedName hidden="1" localSheetId="2" name="Z_21760E1E_4CE4_496B_8EB4_5F333C8E140B_.wvu.FilterData">'정책 결정'!$A$6:$E$22</definedName>
    <definedName hidden="1" localSheetId="1" name="Z_5A710426_F0B7_495D_8233_C3339CD69F8A_.wvu.FilterData">'검증 기준'!$A$6:$D$59</definedName>
    <definedName hidden="1" localSheetId="0" name="Z_294B39CD_3B3E_4289_BEA6_555683A54926_.wvu.FilterData">'요구사항 정의서'!$A$6:$H$91</definedName>
  </definedNames>
  <calcPr/>
  <customWorkbookViews>
    <customWorkbookView activeSheetId="0" maximized="1" windowHeight="0" windowWidth="0" guid="{21760E1E-4CE4-496B-8EB4-5F333C8E140B}" name="Decisions filter view"/>
    <customWorkbookView activeSheetId="0" maximized="1" windowHeight="0" windowWidth="0" guid="{5A710426-F0B7-495D-8233-C3339CD69F8A}" name="Acceptance filter view"/>
    <customWorkbookView activeSheetId="0" maximized="1" windowHeight="0" windowWidth="0" guid="{294B39CD-3B3E-4289-BEA6-555683A54926}" name="Requirements filter view"/>
  </customWorkbookViews>
</workbook>
</file>

<file path=xl/sharedStrings.xml><?xml version="1.0" encoding="utf-8"?>
<sst xmlns="http://schemas.openxmlformats.org/spreadsheetml/2006/main" count="964" uniqueCount="556">
  <si>
    <t>요구사항 검증 기준</t>
  </si>
  <si>
    <t>정책 결정 목록</t>
  </si>
  <si>
    <t>줍 요구사항 정의서</t>
  </si>
  <si>
    <t>정의서의 요구사항 ID와 연결되는 수용 기준 · 테스트 실행 결과가 아님</t>
  </si>
  <si>
    <t>기존 결정 항목 16개 유지 · 결정 전인 내용을 확정 요구사항으로 취급하지 않음</t>
  </si>
  <si>
    <t>기준 문서</t>
  </si>
  <si>
    <t>줍_요구사항정의서_v0.1.docx</t>
  </si>
  <si>
    <t>기능·시퀀스 상세는 줍_기능명세서_상세본_v1.0.docx 참조</t>
  </si>
  <si>
    <t>미결정</t>
  </si>
  <si>
    <t>요구사항 ID</t>
  </si>
  <si>
    <t>v0.1 · 기존 요구사항 내용 유지 · 우선순위는 권고이며 팀 승인 전</t>
  </si>
  <si>
    <t>요구사항</t>
  </si>
  <si>
    <t>요구사항명</t>
  </si>
  <si>
    <t>브리핑 평가 대상과 평가기간은 기존 설계 유지; 세부 기준은 DEC09에서 결정</t>
  </si>
  <si>
    <t>검증 기준</t>
  </si>
  <si>
    <t>관련 결정 항목</t>
  </si>
  <si>
    <t>결정 ID</t>
  </si>
  <si>
    <t>FR01</t>
  </si>
  <si>
    <t>서비스 진입 방식 제공</t>
  </si>
  <si>
    <t>결정 항목</t>
  </si>
  <si>
    <t>각 진입 방식이 해당 화면으로 연결되고 비회원은 계좌 인증 없이 관심종목 선택으로 진행한다.</t>
  </si>
  <si>
    <t>결정할 내용</t>
  </si>
  <si>
    <t>DEC03</t>
  </si>
  <si>
    <t>관련 요구사항</t>
  </si>
  <si>
    <t>검증 기준은 두 번째 시트, 미결정 정책은 세 번째 시트에서 확인</t>
  </si>
  <si>
    <t>상태</t>
  </si>
  <si>
    <t>FR02</t>
  </si>
  <si>
    <t>DEC01</t>
  </si>
  <si>
    <t>이메일 인증</t>
  </si>
  <si>
    <t>가입 후 인증 상태와 이동</t>
  </si>
  <si>
    <t>자동 로그인 또는 로그인 화면 이동 중 하나로 통일</t>
  </si>
  <si>
    <t>유효한 정보만 로그인에 성공하며, 잘못된 정보로 개인 데이터에 접근할 수 없다.</t>
  </si>
  <si>
    <t>구분</t>
  </si>
  <si>
    <t>FR03</t>
  </si>
  <si>
    <t>DEC04</t>
  </si>
  <si>
    <t>서비스(메뉴)</t>
  </si>
  <si>
    <t>이메일 회원가입</t>
  </si>
  <si>
    <t>필요 기능</t>
  </si>
  <si>
    <t>중복 계정을 생성하지 않고 입력 오류를 안내한다. 가입 후 이동은 DEC01 확정 후 검증한다.</t>
  </si>
  <si>
    <t>기능상세설명</t>
  </si>
  <si>
    <t>DEC01, DEC04</t>
  </si>
  <si>
    <t>Column 6</t>
  </si>
  <si>
    <t>DEC02</t>
  </si>
  <si>
    <t>우선순위</t>
  </si>
  <si>
    <t>FR04</t>
  </si>
  <si>
    <t>초기 설정과 튜토리얼 상태</t>
  </si>
  <si>
    <t>소셜 인증</t>
  </si>
  <si>
    <t>완료 시점, 중간 재개, 기준 종목과 건너뛰기 저장</t>
  </si>
  <si>
    <t>동일 소셜 계정 재접속은 기존 회원으로 식별된다. 제공자와 취소 및 실패 동작은 DEC04 확정 후 검증한다.</t>
  </si>
  <si>
    <t>확정 상태</t>
  </si>
  <si>
    <t>FR05, FR08, FR09, DR01</t>
  </si>
  <si>
    <t>FR05</t>
  </si>
  <si>
    <t>초기 설정과 투자 여부</t>
  </si>
  <si>
    <t>투자 여부에 따라 올바른 경로를 제공한다. 완료 시점과 중간 재개 기준은 DEC02에 따른다.</t>
  </si>
  <si>
    <t>사용자</t>
  </si>
  <si>
    <t>게스트 데이터 보관</t>
  </si>
  <si>
    <t>회원가입·로그인</t>
  </si>
  <si>
    <t>FR06</t>
  </si>
  <si>
    <t>식별, 저장 위치와 기간, 회원 전환 시 이전 범위</t>
  </si>
  <si>
    <t>가상계좌 프로필 연결</t>
  </si>
  <si>
    <t>서비스 시작 방식 선택</t>
  </si>
  <si>
    <t>FR01, FR07, FR08, FR10, NFR01, DR01</t>
  </si>
  <si>
    <t>사용자는 이메일 로그인, 이메일 회원가입, 소셜 로그인, 비회원 시작 중 하나를 선택할 수 있어야 한다.</t>
  </si>
  <si>
    <t>연결 성공 시 해당 프로필의 보유종목이 표시된다. 실패를 성공으로 저장하지 않으며 관심종목 진행이 가능하다.</t>
  </si>
  <si>
    <t>기능 AUT01
시퀀스 L1</t>
  </si>
  <si>
    <t>DEC05</t>
  </si>
  <si>
    <t xml:space="preserve">P1 </t>
  </si>
  <si>
    <t>FR07</t>
  </si>
  <si>
    <t>인증과 계정 정책</t>
  </si>
  <si>
    <t>초기 관심종목 선택</t>
  </si>
  <si>
    <t>가입 필드, 제공자, 실패 및 취소, 토큰과 계정 기능 범위</t>
  </si>
  <si>
    <t>0개이면 진행할 수 없고 1개와 3개는 진행할 수 있다. 3개 초과 선택을 허용하지 않는다.</t>
  </si>
  <si>
    <t>FR02, FR03, FR04, IR01</t>
  </si>
  <si>
    <t>DEC03, DEC14</t>
  </si>
  <si>
    <t>확정</t>
  </si>
  <si>
    <t>FR08</t>
  </si>
  <si>
    <t>개인화 초기 그래프</t>
  </si>
  <si>
    <t>가상계좌 운영</t>
  </si>
  <si>
    <t>선택한 기준 종목에 맞는 노드와 간선이 표시된다. 비어 있는 기준 종목 처리는 DEC02 및 DEC05에 따른다.</t>
  </si>
  <si>
    <t>DEC02, DEC03, DEC05, DEC06</t>
  </si>
  <si>
    <t>프로필 교체와 해제, 빈 계좌, 갱신과 평가 수치 산식</t>
  </si>
  <si>
    <t>FR09</t>
  </si>
  <si>
    <t>FR06, FR08, FR21, DR01, IR02</t>
  </si>
  <si>
    <t>관계 그래프 튜토리얼</t>
  </si>
  <si>
    <t>노드와 관계선 선택으로 설명을 확인할 수 있다. 완료 상태 저장과 건너뛰기 이동이 동작한다.</t>
  </si>
  <si>
    <t>이메일 로그인</t>
  </si>
  <si>
    <t>DEC06</t>
  </si>
  <si>
    <t>그래프 표시 기준</t>
  </si>
  <si>
    <t>FR10</t>
  </si>
  <si>
    <t>연결 단계, 노드 수, 크기와 관련도, 빈 상태와 실패</t>
  </si>
  <si>
    <t>사용자 기준 관계 그래프</t>
  </si>
  <si>
    <t>FR08, FR10, FR11, FR12, FR13, FR14, NFR05, NFR07, DR02</t>
  </si>
  <si>
    <t>세 사용자 유형의 기준 종목이 구분된다. 표시 제한 및 기본 연결 단계는 DEC06에 따른다.</t>
  </si>
  <si>
    <t>사용자는 이메일과 비밀번호로 로그인할 수 있어야 한다. 입력이 누락되거나 인증에 실패하면 오류를 안내하고 다시 입력할 수 있게 해야 한다.</t>
  </si>
  <si>
    <t>DEC03, DEC06, DEC14</t>
  </si>
  <si>
    <t>FR11</t>
  </si>
  <si>
    <t>DEC07</t>
  </si>
  <si>
    <t>기능 AUT02
시퀀스 L1</t>
  </si>
  <si>
    <t>기업 노드 정보</t>
  </si>
  <si>
    <t>브리핑 회차 운영</t>
  </si>
  <si>
    <t>선택 기업과 패널 대상이 일치하고 근거를 확인할 수 있다. 미제공 수치를 0으로 대신하지 않는다.</t>
  </si>
  <si>
    <t>실행 시각, 휴장일, 최초 및 실패 회차, 중복 생성 방지</t>
  </si>
  <si>
    <t>DEC06, DEC11</t>
  </si>
  <si>
    <t>FR16, NFR07, NFR08, DR04</t>
  </si>
  <si>
    <t>FR12</t>
  </si>
  <si>
    <t>이슈 노드 정보</t>
  </si>
  <si>
    <t>상반된 근거를 누락하여 한 방향으로 단정하지 않는다. 영향 분류를 주가 상승 또는 하락 확률로 표시하지 않는다.</t>
  </si>
  <si>
    <t>DEC08</t>
  </si>
  <si>
    <t>핵심 이슈 선정</t>
  </si>
  <si>
    <t>FR13</t>
  </si>
  <si>
    <t>중복 묶기, 점수 산식, 선정 건수와 동점 처리</t>
  </si>
  <si>
    <t>기업 간 관계 확인</t>
  </si>
  <si>
    <t>FR16</t>
  </si>
  <si>
    <t>선택 간선의 기업과 설명이 일치한다. 문서 발행 시점과 관계 확인 시점이 구분된다.</t>
  </si>
  <si>
    <t>FR14</t>
  </si>
  <si>
    <t>DEC09</t>
  </si>
  <si>
    <t>이슈와 기업의 영향 경로</t>
  </si>
  <si>
    <t>브리핑 평가 대상</t>
  </si>
  <si>
    <t>사용자는 가입 정보를 입력하고 필수 약관에 동의하여 계정을 생성할 수 있어야 한다. 시스템은 필수 입력, 입력 형식, 필수 약관 동의 및 이메일 중복 여부를 확인하고 잘못된 항목을 안내해야 한다.</t>
  </si>
  <si>
    <t>기업별 영향 경로와 확보된 반대 근거를 확인할 수 있다. 근거만으로 확정되지 않은 인과관계를 단정하지 않는다.</t>
  </si>
  <si>
    <t>확인 변수 및 영향 가설 비교인지 가격 예측 평가인지</t>
  </si>
  <si>
    <t>기능 AUT03
시퀀스 L1</t>
  </si>
  <si>
    <t>FR16, FR17, DR04, IR04</t>
  </si>
  <si>
    <t>FR15</t>
  </si>
  <si>
    <t>그래프 맥락 기반 질문</t>
  </si>
  <si>
    <t>선택 맥락이 답변의 실제 적용 조건과 연결된다. 개인화 권한이 없는 요청에 개인 보유 정보를 반환하지 않는다.</t>
  </si>
  <si>
    <t>DEC12</t>
  </si>
  <si>
    <t>출퇴근 브리핑 생성</t>
  </si>
  <si>
    <t>DEC10</t>
  </si>
  <si>
    <t>출근은 직전 퇴근 이후, 퇴근은 당일 출근 이후 범위를 사용한다. 최초 및 실패 회차 예외는 DEC07, 선정 규칙은 DEC08에 따른다.</t>
  </si>
  <si>
    <t>DEC07, DEC08, DEC09</t>
  </si>
  <si>
    <t>브리핑 조회 범위</t>
  </si>
  <si>
    <t>소셜 로그인과 회원가입</t>
  </si>
  <si>
    <t>FR17</t>
  </si>
  <si>
    <t>개인화, 과거 회차, 미생성 및 실패 표시와 근거 시점</t>
  </si>
  <si>
    <t>사용자는 지원하는 소셜 계정으로 로그인할 수 있어야 한다. 시스템은 기존 회원이면 로그인시키고, 처음 이용하는 사용자이면 계정을 생성해야 한다. 인증 실패 또는 취소 시 시작 화면에서 다시 선택할 수 있어야 한다.</t>
  </si>
  <si>
    <t>이전 브리핑 평가</t>
  </si>
  <si>
    <t>FR18, FR19, DR04</t>
  </si>
  <si>
    <t>기능 AUT04
시퀀스 L1</t>
  </si>
  <si>
    <t>평가 기간 미도래 건을 확정 평가하지 않는다. 가격 예측 적중률로 임의 해석하지 않으며 비교 자료 부족 처리는 별도 확정한다.</t>
  </si>
  <si>
    <t>DEC11</t>
  </si>
  <si>
    <t>FR18</t>
  </si>
  <si>
    <t>상세 표시와 사건 기준</t>
  </si>
  <si>
    <t>최신 공통 브리핑 조회</t>
  </si>
  <si>
    <t>기간, 재무 지표와 단위, 문서 목록, 사건 묶음과 시각 미상</t>
  </si>
  <si>
    <t>조회된 회차와 요약 및 그래프 참조를 확인할 수 있다. 미생성, 실패 및 과거 회차 표시는 DEC10에 따른다.</t>
  </si>
  <si>
    <t>FR11, FR20, FR22, FR23, FR24, FR25, FR26, NFR05, DR03, IR03</t>
  </si>
  <si>
    <t>FR19</t>
  </si>
  <si>
    <t>브리핑 근거 탐색</t>
  </si>
  <si>
    <t>비회원 시작</t>
  </si>
  <si>
    <t>선택 대상에 연결된 근거가 표시된다. 회차와 관계 기준 시점의 일관성은 DEC10 확정 후 검증한다.</t>
  </si>
  <si>
    <t>챗봇 이용 범위</t>
  </si>
  <si>
    <t>사용자는 회원가입 없이 서비스를 시작할 수 있어야 한다. 회원가입을 건너뛸 경우, 시스템은 계좌 연결, 관심종목 설정, AI 질의 등의 기능을 로그인 없이는 사용 불가함을 안내하고, 메인 그래프 화면으로 이동시켜야 한다. 이후 메인 그래프와 관련된 튜토리얼을 회원과 동일하게 진행한다.</t>
  </si>
  <si>
    <t>비회원 허용, 질문 유형, 입력 길이와 전체 이용 한도</t>
  </si>
  <si>
    <t>FR20</t>
  </si>
  <si>
    <t>FR15, FR28, FR29, FR30, FR34, NFR01</t>
  </si>
  <si>
    <t>기업 상세 조회</t>
  </si>
  <si>
    <t>유효하지 않은 기업에는 조회 불가와 이동 방법을 안내한다. 기업 A의 늦은 응답이 B 화면을 덮지 않는다.</t>
  </si>
  <si>
    <t>DEC13</t>
  </si>
  <si>
    <t>재시도와 복구</t>
  </si>
  <si>
    <t>FR21</t>
  </si>
  <si>
    <t>오류별 허용, 지연 안내, 상태 조회 한도와 중단 작업 판정</t>
  </si>
  <si>
    <t>가상 보유 정보 표시</t>
  </si>
  <si>
    <t>FR27, FR29, FR30, FR31, FR32, FR35, NFR03, NFR04, NFR07, NFR08, DR05, IR04</t>
  </si>
  <si>
    <t>미연결, 미보유, 미제공 수치를 구분한다. 로그아웃 이후 이전 개인화 응답을 표시하지 않으며 공개 정보는 유지한다.</t>
  </si>
  <si>
    <t>로그인 후 화면 이동</t>
  </si>
  <si>
    <t>FR22</t>
  </si>
  <si>
    <t>DEC14</t>
  </si>
  <si>
    <t>시스템은 로그인 성공 후 초기 설정 완료 여부를 확인해야 한다. 미완료 사용자는 초기 설정 화면으로, 완료 사용자는 기존 보유종목과 관심종목을 기준으로 메인 화면에 진입시켜야 한다.</t>
  </si>
  <si>
    <t>차트와 타임라인 기간 조회</t>
  </si>
  <si>
    <t>추가 화면 범위</t>
  </si>
  <si>
    <t>빠른 연속 변경에도 최종 기간만 표시한다. 차트와 사건 상세의 도착 순서에 관계없이 유효한 시점만 강조한다.</t>
  </si>
  <si>
    <t>시장 전체 그래프 전환, 관심종목 편집과 계정 설정</t>
  </si>
  <si>
    <t>FR07, FR10</t>
  </si>
  <si>
    <t>FR23</t>
  </si>
  <si>
    <t>동일 날짜 사건 구분</t>
  </si>
  <si>
    <t>A에서 B 사건으로 전환하면 A 내용과 강조가 남지 않는다. 같은 날짜라는 이유로 사건을 합치거나 불명확한 시각을 만들지 않는다.</t>
  </si>
  <si>
    <t>DEC15</t>
  </si>
  <si>
    <t>보관과 삭제</t>
  </si>
  <si>
    <t>FR24</t>
  </si>
  <si>
    <t>재무와 실적 조회</t>
  </si>
  <si>
    <t>대화, 작업, 개인화 맥락과 문서 버전의 수명 및 권한 변경</t>
  </si>
  <si>
    <t>재무 기간 변경이 차트 기간을 바꾸지 않는다. 자료 없는 값을 0으로 채우지 않고 이전 기간 응답을 제외한다.</t>
  </si>
  <si>
    <t>로그아웃</t>
  </si>
  <si>
    <t>FR31, FR34, FR35, NFR01, NFR06, NFR08, DR03, DR05</t>
  </si>
  <si>
    <t>사용자는 로그아웃할 수 있어야 한다. 로그아웃 후에는 이전 회원의 보유 정보와 대화 등 개인 정보가 표시되지 않아야 한다.</t>
  </si>
  <si>
    <t>FR25</t>
  </si>
  <si>
    <t>뉴스와 공시 조회</t>
  </si>
  <si>
    <t>DEC16</t>
  </si>
  <si>
    <t>이전 기업 목록이 현재 기업 화면을 덮지 않는다. 원문 접근 실패에도 이미 확보한 출처와 근거를 유지한다.</t>
  </si>
  <si>
    <t>명칭과 데이터 공급</t>
  </si>
  <si>
    <t>FR26</t>
  </si>
  <si>
    <t>제품명, 지원 시장, 공급자와 갱신 주기 및 이용 범위</t>
  </si>
  <si>
    <t>상세 화면 상태와 이동</t>
  </si>
  <si>
    <t>전체</t>
  </si>
  <si>
    <t>복귀 후 사건을 다시 검증하고 새 조회를 사용한다. 브라우저 뒤로가기는 이력을 따르며 무조건 메인으로 이동하지 않는다.</t>
  </si>
  <si>
    <t>FR27</t>
  </si>
  <si>
    <t>영역별 재시도</t>
  </si>
  <si>
    <t>온보딩·튜토리얼</t>
  </si>
  <si>
    <t>추가·보완 제안 검토</t>
  </si>
  <si>
    <t>재무 재시도로 정상 차트가 초기화되지 않는다. 과거 요청 오류가 최신 결과를 지우지 않으며 무한 재시도하지 않는다.</t>
  </si>
  <si>
    <t>검토 항목</t>
  </si>
  <si>
    <t>FR28</t>
  </si>
  <si>
    <t>분류</t>
  </si>
  <si>
    <t>NFR07</t>
  </si>
  <si>
    <t>AI 질문 진입과 전송</t>
  </si>
  <si>
    <t>성능 측정 기준</t>
  </si>
  <si>
    <t>시험 환경, 데이터 규모, 동시 요청 수와 응답 시간 목표를 실측·승인 후 결정한다.</t>
  </si>
  <si>
    <t>추가 제안</t>
  </si>
  <si>
    <t>검토 전</t>
  </si>
  <si>
    <t>선택한 문서 참조가 질문에 포함된다. 추천 질문은 입력창에서 확인 후 전송하며 동일 대화의 작업을 겹쳐 시작하지 않는다.</t>
  </si>
  <si>
    <t>투자 여부 선택</t>
  </si>
  <si>
    <t>NFR08</t>
  </si>
  <si>
    <t>운영 추적과 중단 작업 복구</t>
  </si>
  <si>
    <t>기록 항목, 중단 탐지와 복구 시점을 결정한다.</t>
  </si>
  <si>
    <t>보완 제안</t>
  </si>
  <si>
    <t>처음 이용하는 회원은 현재 주식 투자 여부를 선택할 수 있어야 한다. 시스템은 선택 결과를 저장하고, 투자자는 가상계좌 연결 화면으로, 비투자자는 관심종목 선택 화면으로 안내해야 한다.</t>
  </si>
  <si>
    <t>NFR09</t>
  </si>
  <si>
    <t>이용 환경과 접근성</t>
  </si>
  <si>
    <t>지원 브라우저, 화면 크기와 접근성 적용 범위를 결정한다.</t>
  </si>
  <si>
    <t>FR29</t>
  </si>
  <si>
    <t>기능 AUT05
시퀀스 L2</t>
  </si>
  <si>
    <t>AI 권한과 중복 작업 통제</t>
  </si>
  <si>
    <t>동시 중복 전송은 유효한 실행 하나로 처리된다. 같은 작업 ID의 다른 내용은 충돌로 처리한다.</t>
  </si>
  <si>
    <t>DEC12, DEC13</t>
  </si>
  <si>
    <t>FR30</t>
  </si>
  <si>
    <t>질문 해석과 되묻기</t>
  </si>
  <si>
    <t>동일 작업 재시도에서 대상과 기간이 바뀌지 않는다. 되묻기는 저장된 완료 결과이며 추가 입력은 새 작업이다.</t>
  </si>
  <si>
    <t>FR31</t>
  </si>
  <si>
    <t>회원은 준비된 가상계좌 프로필을 선택해 연결할 수 있어야 한다. 시스템은 실제 증권계좌가 아닌 모의 데이터임을 안내하고, 연결 성공 시 해당 프로필의 보유종목을 표시해야 한다.</t>
  </si>
  <si>
    <t>개인화 조건과 근거 확보</t>
  </si>
  <si>
    <t>기능 AUT06
시퀀스 L3</t>
  </si>
  <si>
    <t>선택 근거의 참조와 버전이 유지된다. 조회 장애를 근거 없음으로 처리하지 않으며 권한 밖 정보는 모델에 전달하지 않는다.</t>
  </si>
  <si>
    <t>DEC13, DEC15</t>
  </si>
  <si>
    <t>FR32</t>
  </si>
  <si>
    <t>답변 검증과 제공</t>
  </si>
  <si>
    <t>잘못된 인용 및 그래프 ID 또는 저장 실패 결과를 완료 답변으로 표시하지 않는다. 검증 실패 자동 재생성은 하지 않는다.</t>
  </si>
  <si>
    <t>가상계좌 연결 재시도와 건너뛰기</t>
  </si>
  <si>
    <t>FR33</t>
  </si>
  <si>
    <t>회원은 가상계좌 연결을 건너뛰고 관심종목을 선택할 수 있어야 한다. 연결 실패 시에는 실패 안내와 함께 다시 시도하거나 관심종목 선택으로 진행할 수 있어야 한다.</t>
  </si>
  <si>
    <t>답변 근거와 그래프 탐색</t>
  </si>
  <si>
    <t>AI 답변만을 근거로 새 간선을 만들지 않는다. 원문을 열지 못해도 확보한 근거를 유지한다.</t>
  </si>
  <si>
    <t>없음</t>
  </si>
  <si>
    <t>FR34</t>
  </si>
  <si>
    <t>대화와 내부 패널 유지</t>
  </si>
  <si>
    <t>패널 재진입 시 같은 작업 상태와 결과를 회수한다. 이전 대화의 늦은 응답이 새 대화 화면을 덮지 않는다.</t>
  </si>
  <si>
    <t>DEC12, DEC15</t>
  </si>
  <si>
    <t>관심종목 검색과 추천 조회</t>
  </si>
  <si>
    <t>FR35</t>
  </si>
  <si>
    <t>사용자는 종목명 또는 티커로 종목을 검색하고 추천 종목·산업·테마를 확인할 수 있어야 한다. 검색 결과가 없으면 결과 없음 안내를 제공해야 한다.</t>
  </si>
  <si>
    <t>AI 결과 회수와 재시도</t>
  </si>
  <si>
    <t>상태 조회 장애를 미등록으로 취급하지 않는다. 결과 회수 때문에 중복 생성하지 않고 허용 재실행만 실행 권한을 재검증한다.</t>
  </si>
  <si>
    <t>NFR01</t>
  </si>
  <si>
    <t>접근 통제</t>
  </si>
  <si>
    <t>타인 대화와 작업 및 근거 참조로 요청하면 거절된다. 로그아웃 후 개인화 응답이 노출되지 않는다.</t>
  </si>
  <si>
    <t>DEC03, DEC12, DEC15</t>
  </si>
  <si>
    <t>NFR02</t>
  </si>
  <si>
    <t>응답과 화면 정합성</t>
  </si>
  <si>
    <t>기업과 기간을 빠르게 변경하고 응답 순서를 뒤집어도 최종 선택과 결과가 일치한다.</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</si>
  <si>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</si>
  <si>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NFR03</t>
  </si>
  <si>
    <t>기능 AUT07
시퀀스 L4</t>
  </si>
  <si>
    <t>작업 일관성과 복구</t>
  </si>
  <si>
    <t>동시 요청, 통신 단절, 저장 실패 및 늦은 과거 실행을 주입해 중복 완료와 덮어쓰기가 없는지 검사한다.</t>
  </si>
  <si>
    <t>초기 설정 저장</t>
  </si>
  <si>
    <t>NFR04</t>
  </si>
  <si>
    <t>시스템은 회원의 초기 설정과 관심종목을 계정에 저장하고, 저장 실패 시 완료로 처리하지 않고, 선택 내용을 유지한 채 다시 시도할 수 있게 해야 한다. 비회원의 경우, 관심종목 등 설정을 위해서는 로그인을 해야한다고 안내하도록 한다.</t>
  </si>
  <si>
    <t>부분 실패 내성</t>
  </si>
  <si>
    <t>재무 조회만 실패시켜 차트와 개요 유지 및 재무만 재요청되는지 확인한다.</t>
  </si>
  <si>
    <t>NFR05</t>
  </si>
  <si>
    <t>근거와 해석의 품질</t>
  </si>
  <si>
    <t>인용 ID 및 원문 구간 오류, 상반된 근거와 발생 시각 미상 사례를 넣어 표시와 보류를 검사한다. 전체 사실 정확성 보장은 별도 평가 대상이다.</t>
  </si>
  <si>
    <t>NFR06</t>
  </si>
  <si>
    <t>모델 전달 데이터 최소화</t>
  </si>
  <si>
    <t>시험용 민감값을 넣은 요청에서 실제 모델 전달 데이터에 불필요한 값이 없는지 확인한다.</t>
  </si>
  <si>
    <t>초기 관계 그래프 제공</t>
  </si>
  <si>
    <t>시험 환경, 데이터 규모, 동시 요청 수, 백분위 지표와 목표값을 승인한 후 부하 시험한다. 현재 수치 합격 기준은 미정이다.</t>
  </si>
  <si>
    <t>시스템은 연결된 가상 보유종목과 선택한 관심종목을 중심으로 초기 그래프를 제공하고 둘 다 없다면 전체 시장 기업·이슈·산업·제품의 관계 그래프를 제공해야 한다. 그래프 조회 실패 시 안내와 재시도를 제공해야 한다.</t>
  </si>
  <si>
    <t>DEC06, DEC07, DEC13, DEC16</t>
  </si>
  <si>
    <t>기능 AUT08
시퀀스 L5</t>
  </si>
  <si>
    <t>시험용 실행 중단과 저장소 장애로 복구 경로를 확인한다. 탐지 기준, 기록 항목과 복구 시점은 승인 후 검증한다.</t>
  </si>
  <si>
    <t>DEC07, DEC13, DEC15</t>
  </si>
  <si>
    <t>지원 환경과 접근성 점검표를 승인한 뒤 진입, 사건 선택, AI 패널 열기와 닫기를 점검한다.</t>
  </si>
  <si>
    <t>신규 결정 NFR09</t>
  </si>
  <si>
    <t>DR01</t>
  </si>
  <si>
    <t>사용자는 튜토리얼에서 기본 조작 방법 및 기업·이슈 선택, 관계선 선택, 상세 정보와 근거 확인, AI 질문 방법을 안내받을 수 있어야 한다.</t>
  </si>
  <si>
    <t>사용자와 모의 보유</t>
  </si>
  <si>
    <t>기능 AUT09
시퀀스 L6</t>
  </si>
  <si>
    <t>회원 간 데이터 분리와 초기 관심종목 1~3개 제한, 모의 표기 및 미연결 상태를 확인한다.</t>
  </si>
  <si>
    <t>DEC02, DEC03, DEC05</t>
  </si>
  <si>
    <t>DR02</t>
  </si>
  <si>
    <t>관계와 근거 연결</t>
  </si>
  <si>
    <t>노드와 간선의 대상 일치 및 제공된 관계에서 근거 문서로의 연결을 검사한다. 모든 관계에 동일 속성을 강제하지 않는다.</t>
  </si>
  <si>
    <t>DR03</t>
  </si>
  <si>
    <t>사건과 문서 구분</t>
  </si>
  <si>
    <t>동일 날짜의 별개 사건이 합쳐지지 않고 발생 시각 미상은 임의 보정되지 않는다. 문서 중복 연결 정책은 별도 정한다.</t>
  </si>
  <si>
    <t>DEC11, DEC15</t>
  </si>
  <si>
    <t>DR04</t>
  </si>
  <si>
    <t>튜토리얼 완료와 건너뛰기</t>
  </si>
  <si>
    <t>브리핑 회차와 평가</t>
  </si>
  <si>
    <t>저장 결과의 회차와 근거를 추적한다. 평가 필드와 회차 간 시점 일관성 검증은 정책 확정 후 수행한다.</t>
  </si>
  <si>
    <t>사용자는 튜토리얼을 완료하거나 건너뛰고 메인 그래프로 이동할 수 있어야 한다. 시스템은 회원의 튜토리얼 완료 여부를 저장해야 한다.</t>
  </si>
  <si>
    <t>DEC07, DEC09, DEC10</t>
  </si>
  <si>
    <t>DR05</t>
  </si>
  <si>
    <t>대화와 작업 맥락</t>
  </si>
  <si>
    <t>같은 작업의 재전송과 새 질문을 구별한다. 되묻기 및 판단 보류를 저장된 완료 결과로 회수하며 기술 실패와 혼동하지 않는다.</t>
  </si>
  <si>
    <t>IR01</t>
  </si>
  <si>
    <t xml:space="preserve">                  </t>
  </si>
  <si>
    <t>소셜 인증 연동</t>
  </si>
  <si>
    <t>시험 계정으로 신규와 기존 인증을 확인하고 취소 및 실패를 성공으로 취급하지 않는지 승인 정책에 따라 검사한다.</t>
  </si>
  <si>
    <t>IR02</t>
  </si>
  <si>
    <t>가상계좌 데이터 연동</t>
  </si>
  <si>
    <t>메인 화면</t>
  </si>
  <si>
    <t>유효 및 미존재 프로필과 조회 실패를 시험한다. 실제 계좌를 연결한 것처럼 안내하지 않는다.</t>
  </si>
  <si>
    <t>개인화 관계 그래프</t>
  </si>
  <si>
    <t>IR03</t>
  </si>
  <si>
    <t>뉴스와 시장 데이터 연동</t>
  </si>
  <si>
    <r>
      <rPr>
        <rFont val="Arial"/>
        <color rgb="FF202A23"/>
        <sz val="11.0"/>
      </rPr>
      <t xml:space="preserve">시스템은 보유종목이 있는 회원에게 </t>
    </r>
    <r>
      <rPr>
        <rFont val="Arial"/>
        <b/>
        <color rgb="FF202A23"/>
        <sz val="11.0"/>
      </rPr>
      <t>보유종목과 관심종목의 관계 그래프를 제공</t>
    </r>
    <r>
      <rPr>
        <rFont val="Arial"/>
        <color rgb="FF202A23"/>
        <sz val="11.0"/>
      </rPr>
      <t>해야 한다.보유·관심종목을 구분해 표시해야 한다. 보유종목이 없으면 관심종목을 기준으로 제공하며, 두 종류 모두 없으면 관심종목 설정을 안내해야 한다.</t>
    </r>
  </si>
  <si>
    <t>선정 공급자의 필드와 서비스 표시값을 대조한다. 지연 데이터, 누락값과 접근 불가 원문을 점검한다.</t>
  </si>
  <si>
    <t>DEC11, DEC16</t>
  </si>
  <si>
    <t>기능 GRF01
시퀀스 G1</t>
  </si>
  <si>
    <t>IR04</t>
  </si>
  <si>
    <t>AI 분석 연동</t>
  </si>
  <si>
    <t>정상, 형식 및 참조 오류, 호출 장애 결과를 시험한다. 챗봇은 검증 실패 답변을 보류하며 브리핑 검증 세부는 별도 결정한다.</t>
  </si>
  <si>
    <t>DEC09, DEC13, DEC16</t>
  </si>
  <si>
    <t>시퀀스 참조표</t>
  </si>
  <si>
    <t>시퀀스 ID</t>
  </si>
  <si>
    <t>시퀀스명</t>
  </si>
  <si>
    <t>전체 관계 그래프</t>
  </si>
  <si>
    <t>L1</t>
  </si>
  <si>
    <t>로그인 및 튜토리얼 / 서비스 진입 및 인증</t>
  </si>
  <si>
    <t>시스템은 사용자의 종목 보유 여부와 관계없이 전체 시장 관계 그래프를 제공해야 한다.</t>
  </si>
  <si>
    <t>L2</t>
  </si>
  <si>
    <t>로그인 및 튜토리얼 / 최초 이용 판단 및 투자 여부 설정</t>
  </si>
  <si>
    <t>L3</t>
  </si>
  <si>
    <t>로그인 및 튜토리얼 / 투자자 가상계좌 연결</t>
  </si>
  <si>
    <t>L4</t>
  </si>
  <si>
    <t>로그인 및 튜토리얼 / 관심 종목 선택</t>
  </si>
  <si>
    <t>L5</t>
  </si>
  <si>
    <t>로그인 및 튜토리얼 / 개인화 초기 데이터 생성</t>
  </si>
  <si>
    <t>L6</t>
  </si>
  <si>
    <t>로그인 및 튜토리얼 / 관계 그래프 튜토리얼</t>
  </si>
  <si>
    <t>G1</t>
  </si>
  <si>
    <t>메인 그래프 / 메인 그래프 초기 조회</t>
  </si>
  <si>
    <t>G2</t>
  </si>
  <si>
    <t>메인 그래프 / 기업 이슈 노드 상세 조회</t>
  </si>
  <si>
    <t>G3</t>
  </si>
  <si>
    <t>메인 그래프 / 관계 간선 상세 조회</t>
  </si>
  <si>
    <t>그래프 모드 전환</t>
  </si>
  <si>
    <t>G4</t>
  </si>
  <si>
    <t>메인 그래프 / 그래프 기반 AI 질의 응답</t>
  </si>
  <si>
    <t>사용자는 전체 관계 그래프와 개인화 관계 그래프를 전환할 수 있어야 한다. 시스템은 현재 선택한 모드를 표시해야 한다.</t>
  </si>
  <si>
    <t>B1</t>
  </si>
  <si>
    <t>출퇴근 브리핑 / 브리핑 자동 생성</t>
  </si>
  <si>
    <t>B2</t>
  </si>
  <si>
    <t>출퇴근 브리핑 / 이전 브리핑 평가</t>
  </si>
  <si>
    <t>B3</t>
  </si>
  <si>
    <t>출퇴근 브리핑 / 사용자 브리핑 조회</t>
  </si>
  <si>
    <t>D1</t>
  </si>
  <si>
    <t>기업 상세 확인 / ① 상세페이지 진입과 기업 개요 조회</t>
  </si>
  <si>
    <t>D2</t>
  </si>
  <si>
    <t>기업 상세 확인 / ② 보유 및 관심 종목 정보 조회</t>
  </si>
  <si>
    <t>D3</t>
  </si>
  <si>
    <t>기업 상세 확인 / ③ 차트와 타임라인 조회 및 기간 변경</t>
  </si>
  <si>
    <t>D4</t>
  </si>
  <si>
    <t>기업 상세 확인 / ④ 날짜와 사건 선택 및 상세 근거 조회</t>
  </si>
  <si>
    <t>D5</t>
  </si>
  <si>
    <t>기업 상세 확인 / ⑤ 재무와 실적 조회 및 기간 변경</t>
  </si>
  <si>
    <t>D6</t>
  </si>
  <si>
    <t>기업 상세 확인 / ⑥ 뉴스와 공시 목록 및 원문 확인</t>
  </si>
  <si>
    <t>D7</t>
  </si>
  <si>
    <t>기업 상세 확인 / ⑦ 관계 그래프와 AI 연결 및 화면 복귀</t>
  </si>
  <si>
    <t>D8</t>
  </si>
  <si>
    <t>기업 상세 확인 / ⑧ 공통 오류 처리 및 영역별 재시도</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</si>
  <si>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</si>
  <si>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A1</t>
  </si>
  <si>
    <t>AI 챗봇 / ① 챗봇 진입과 질문 전송</t>
  </si>
  <si>
    <t>A2</t>
  </si>
  <si>
    <t>AI 챗봇 / ② 권한과 작업 상태 및 중복 실행 확인</t>
  </si>
  <si>
    <t>기능 GRF02
시퀀스 G2</t>
  </si>
  <si>
    <t>A3</t>
  </si>
  <si>
    <t>AI 챗봇 / ③ 질문 해석과 되묻기 및 작업 맥락 저장</t>
  </si>
  <si>
    <t>A4</t>
  </si>
  <si>
    <t>AI 챗봇 / ④ 개인화 조건과 관계 및 근거 조회</t>
  </si>
  <si>
    <t>A5</t>
  </si>
  <si>
    <t>AI 챗봇 / ⑤ 답변 생성과 검증 및 저장과 전달</t>
  </si>
  <si>
    <t>A6</t>
  </si>
  <si>
    <t>AI 챗봇 / ⑥ 근거 확인 및 관련 그래프 탐색</t>
  </si>
  <si>
    <t>A7</t>
  </si>
  <si>
    <t>AI 챗봇 / ⑦ 후속 질문과 새 대화 및 패널 재진입</t>
  </si>
  <si>
    <t>A8</t>
  </si>
  <si>
    <t>AI 챗봇 / ⑧ 오류와 상태 조회 및 결과 회수와 재시도</t>
  </si>
  <si>
    <r>
      <rPr>
        <rFont val="Arial"/>
        <color rgb="FF202A23"/>
        <sz val="11.0"/>
      </rPr>
      <t xml:space="preserve">시스템은 이슈의 내용과 관련 기업을 이해할 수 있도록 이슈 정보 패널을 제공한다. </t>
    </r>
    <r>
      <rPr>
        <rFont val="Arial"/>
        <b/>
        <color rgb="FF202A23"/>
        <sz val="11.0"/>
      </rPr>
      <t>기업별 긍정·부정·혼재 등의 영향 해석과 불확실성을 근거와 함께 설명</t>
    </r>
    <r>
      <rPr>
        <rFont val="Arial"/>
        <color rgb="FF202A23"/>
        <sz val="11.0"/>
      </rPr>
      <t>. 이를 주가 상승·하락 확률로 표현해서는 안 된다.</t>
    </r>
  </si>
  <si>
    <t>기능 GRF03
시퀀스 G2</t>
  </si>
  <si>
    <t>이슈와 기업의 영향 경로 확인(기업 노드 클릭)</t>
  </si>
  <si>
    <r>
      <rPr>
        <rFont val="Arial"/>
        <color rgb="FF202A23"/>
        <sz val="11.0"/>
      </rPr>
      <t>사용자가 특정 이슈가 기업에 어떻게 연결되는지 이해할 수 있도록 직접·간접 영향 경로를 제공. 이슈와 기업의 연결을 선택하면 직접 연결 또는 중간 기업·산업·제품 등을 거치는 경로와 단계별 연결 이유를 표시해야 한다.</t>
    </r>
    <r>
      <rPr>
        <rFont val="Arial"/>
        <b/>
        <color rgb="FF202A23"/>
        <sz val="11.0"/>
      </rPr>
      <t xml:space="preserve"> 확인된 사실</t>
    </r>
    <r>
      <rPr>
        <rFont val="Arial"/>
        <color rgb="FF202A23"/>
        <sz val="11.0"/>
      </rPr>
      <t>과</t>
    </r>
    <r>
      <rPr>
        <rFont val="Arial"/>
        <b/>
        <color rgb="FF202A23"/>
        <sz val="11.0"/>
      </rPr>
      <t xml:space="preserve"> 예상되는 영향을 구분</t>
    </r>
    <r>
      <rPr>
        <rFont val="Arial"/>
        <color rgb="FF202A23"/>
        <sz val="11.0"/>
      </rPr>
      <t>하고, 설명을 뒷받침하는 근거뿐 아니라 확보된 반대 근거나 해석의 한계도 함께 제공해야 한다.</t>
    </r>
  </si>
  <si>
    <t>기능 GRF05
시퀀스 G3</t>
  </si>
  <si>
    <t xml:space="preserve">기업 간 관계 확인(기업 간 간선 클릭) </t>
  </si>
  <si>
    <r>
      <rPr>
        <rFont val="Arial"/>
        <color rgb="FF202A23"/>
        <sz val="11.0"/>
      </rPr>
      <t xml:space="preserve">사용자가 </t>
    </r>
    <r>
      <rPr>
        <rFont val="Arial"/>
        <b/>
        <color rgb="FF202A23"/>
        <sz val="11.0"/>
      </rPr>
      <t>두 기업이 연결된 이유를 이해</t>
    </r>
    <r>
      <rPr>
        <rFont val="Arial"/>
        <color rgb="FF202A23"/>
        <sz val="11.0"/>
      </rPr>
      <t>할 수 있도록 기업 간 관계선을 선택하면 관계 설명을 제공해야 한다. 공급·고객·경쟁·투자 등 확인된 관계 유형과 관계의 방향, 관련 사업·제품 범위, 현재 상태 및 확인 시점을 표시해야함.</t>
    </r>
  </si>
  <si>
    <t>기능 GRF04
시퀀스 G3</t>
  </si>
  <si>
    <t>관계 근거 확인</t>
  </si>
  <si>
    <r>
      <rPr>
        <rFont val="Arial"/>
        <color rgb="FF202A23"/>
        <sz val="11.0"/>
      </rPr>
      <t xml:space="preserve">사용자가 그래프의 연결과 설명을 직접 확인할 수 있도록 </t>
    </r>
    <r>
      <rPr>
        <rFont val="Arial"/>
        <b/>
        <color rgb="FF202A23"/>
        <sz val="11.0"/>
      </rPr>
      <t>기업·이슈·관계에 연결된 근거 자료를 제공</t>
    </r>
    <r>
      <rPr>
        <rFont val="Arial"/>
        <color rgb="FF202A23"/>
        <sz val="11.0"/>
      </rPr>
      <t xml:space="preserve">한다. 근거 뉴스·공시의 제목, 출처, 발행 시각, 확보된 </t>
    </r>
    <r>
      <rPr>
        <rFont val="Arial"/>
        <b/>
        <color rgb="FF202A23"/>
        <sz val="11.0"/>
      </rPr>
      <t>원문 구간과 원문 링크를 표시</t>
    </r>
    <r>
      <rPr>
        <rFont val="Arial"/>
        <color rgb="FF202A23"/>
        <sz val="11.0"/>
      </rPr>
      <t xml:space="preserve">해야 한다. 원문 접근이 불가능하거나 근거가 충분하지 않은 경우 해당 상태를 안내하고, </t>
    </r>
    <r>
      <rPr>
        <rFont val="Arial"/>
        <b/>
        <color rgb="FF202A23"/>
        <sz val="11.0"/>
      </rPr>
      <t>문서 발행 시각과 관계 확인 시점을 구분</t>
    </r>
    <r>
      <rPr>
        <rFont val="Arial"/>
        <color rgb="FF202A23"/>
        <sz val="11.0"/>
      </rPr>
      <t>해야 한다.</t>
    </r>
  </si>
  <si>
    <t>선택한 노드로 AI 질문</t>
  </si>
  <si>
    <r>
      <rPr>
        <rFont val="Arial"/>
        <color rgb="FF202A23"/>
        <sz val="11.0"/>
      </rPr>
      <t xml:space="preserve">시스템은 그래프에서 선택한 노드에서 </t>
    </r>
    <r>
      <rPr>
        <rFont val="Arial"/>
        <b/>
        <color rgb="FF202A23"/>
        <sz val="11.0"/>
      </rPr>
      <t>AI 질문을 선택하면 선택 대상, 적용 기간 및 근거 자료 정보를 질문에 연결</t>
    </r>
    <r>
      <rPr>
        <rFont val="Arial"/>
        <color rgb="FF202A23"/>
        <sz val="11.0"/>
      </rPr>
      <t xml:space="preserve">하고, 사용자가 연결된 대상을 확인한 뒤 질문을 보낼 수 있어야 한다.  </t>
    </r>
    <r>
      <rPr>
        <rFont val="Arial"/>
        <b/>
        <color rgb="FF202A23"/>
        <sz val="11.0"/>
      </rPr>
      <t>관계 탐색, 자료 요약 및 허용된 개인화 질문에 공통 챗봇 규칙(거버넌스)을 적용</t>
    </r>
    <r>
      <rPr>
        <rFont val="Arial"/>
        <color rgb="FF202A23"/>
        <sz val="11.0"/>
      </rPr>
      <t xml:space="preserve">해야 한다. </t>
    </r>
    <r>
      <rPr>
        <rFont val="Arial"/>
        <b/>
        <color rgb="FF202A23"/>
        <sz val="11.0"/>
      </rPr>
      <t>개인화 정보는 사용자의 조회 권한 범위에서만 활용</t>
    </r>
    <r>
      <rPr>
        <rFont val="Arial"/>
        <color rgb="FF202A23"/>
        <sz val="11.0"/>
      </rPr>
      <t>해야 한다.</t>
    </r>
  </si>
  <si>
    <t>기능 GRF06
시퀀스 G4, A1, A2, A4, A5</t>
  </si>
  <si>
    <t>사이드바 기업 선택</t>
  </si>
  <si>
    <t>사용자는 사이드바에서 선택한 기업을 중심으로 그래프를 확대 및 이동 시킬 수 있다.</t>
  </si>
  <si>
    <t>관심 종목 수정</t>
  </si>
  <si>
    <t>사용자는 사이드바 또는 기업 노드를 클릭하여 관심 종목을 선택 및 해제할 수 있다.</t>
  </si>
  <si>
    <t>시스템</t>
  </si>
  <si>
    <t>출퇴근 브리핑</t>
  </si>
  <si>
    <t>출근 브리핑 생성</t>
  </si>
  <si>
    <r>
      <rPr>
        <rFont val="Arial"/>
        <color rgb="FF202A23"/>
        <sz val="11.0"/>
      </rPr>
      <t xml:space="preserve">시스템은 매일 07:40에 출근 브리핑을 자동 생성한다. 직전 퇴근 브리핑의 데이터 기준 시점 이후부터 이번 회차의 데이터 마감 시점까지 확보한 </t>
    </r>
    <r>
      <rPr>
        <rFont val="Arial"/>
        <b/>
        <color rgb="FF202A23"/>
        <sz val="11.0"/>
      </rPr>
      <t>미국 증시·국제정세·국내 주요 뉴스를 바탕으로 시장 요약, 핵심 이슈, 관련 기업과 주요 시장 변수를 제공</t>
    </r>
    <r>
      <rPr>
        <rFont val="Arial"/>
        <color rgb="FF202A23"/>
        <sz val="11.0"/>
      </rPr>
      <t>.</t>
    </r>
  </si>
  <si>
    <t>기능 BRF01
시퀀스 B1</t>
  </si>
  <si>
    <t>퇴근 브리핑 생성</t>
  </si>
  <si>
    <r>
      <rPr>
        <rFont val="Carlito"/>
        <color theme="1"/>
      </rPr>
      <t xml:space="preserve">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t>
    </r>
    <r>
      <rPr>
        <rFont val="Carlito"/>
        <b/>
        <color theme="1"/>
      </rPr>
      <t>국내 증시 동향과 주요 기업·산업 이슈를 바탕으로 시장 요약, 핵심 이슈, 관련 기업과 주요 시장 변수를 제공</t>
    </r>
    <r>
      <rPr>
        <rFont val="Carlito"/>
        <color theme="1"/>
      </rPr>
      <t>해야 한다.</t>
    </r>
  </si>
  <si>
    <t>핵심 이슈 선정 및 제공</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</si>
  <si>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</si>
  <si>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기능 BRF02
시퀀스 B2</t>
  </si>
  <si>
    <t>검토 중</t>
  </si>
  <si>
    <t>시장 변수 제공</t>
  </si>
  <si>
    <t>시스템은 각 브리핑에 시장 흐름을 이해하기 위해 확인할 주요 변수와 설명을 제공한다. 변수의 변화와 기업·시장에 대한 영향 해석을 구분하고, 자료가 없거나 지연된 경우 이를 안내해야 한다.</t>
  </si>
  <si>
    <t>관계 그래프 조회</t>
  </si>
  <si>
    <t>사용자는 브리핑의 핵심 이슈와 관련 기업 간 관계 경로를 그래프로 확인할 수 있다. 이슈나 관계선을 선택하면 연결 이유와 근거 뉴스·공시를 확인할 수 있어야 한다.  그래프와 근거는 해당 브리핑의 데이터 기준 시점에 맞게 제공해야 한다.</t>
  </si>
  <si>
    <t>기능 BRF04
시퀀스 B3</t>
  </si>
  <si>
    <t>공통 브리핑 조회</t>
  </si>
  <si>
    <t>사용자는 날짜와 출근·퇴근 구분을 선택하여 해당 회차의 공통 시장 브리핑을 조회할 수 있어야 한다. 같은 회차를 조회한 사용자에게는 동일하게 발행된 시장 요약,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</si>
  <si>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기능 BRF03
시퀀스 B3</t>
  </si>
  <si>
    <t>중복 발행 방지</t>
  </si>
  <si>
    <r>
      <rPr>
        <rFont val="Arial"/>
        <color rgb="FF202A23"/>
        <sz val="11.0"/>
      </rPr>
      <t xml:space="preserve">시스템은 발행일과 출근·퇴근 구분을 기준으로 </t>
    </r>
    <r>
      <rPr>
        <rFont val="Arial"/>
        <b/>
        <color rgb="FF202A23"/>
        <sz val="11.0"/>
      </rPr>
      <t>공통 브리핑의 회차를 식별하고, 같은 회차를 중복 발행하지 않아야 한다</t>
    </r>
    <r>
      <rPr>
        <rFont val="Arial"/>
        <color rgb="FF202A23"/>
        <sz val="11.0"/>
      </rPr>
      <t>. 동일 회차의 생성 요청이 반복되거나 실패 후 재시도하더라도 중복 발행하지 않아야 하며, 이미 발행된 브리핑을 재실행 결과로 임의 교체해서는 안 된다.</t>
    </r>
  </si>
  <si>
    <t>브리핑 이력 보존</t>
  </si>
  <si>
    <t>시스템은 발행된 브리핑의 본문, 핵심 이슈, 관련 기업과 영향 경로, 주요 변수 및 근거 자료의 참조 정보를 보존해야 한다. 발행일, 출근·퇴근 구분, 생성 시각과 데이터 기준 시점도 함께 저장해야 한다.   이후 수집된 뉴스나 변경된 시장 데이터로 과거 내용을 자동으로 덮어쓰지 않아야 한다.</t>
  </si>
  <si>
    <t>개인화 브리핑 조회</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</si>
  <si>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</si>
  <si>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 xml:space="preserve">P2 </t>
  </si>
  <si>
    <t>좋아요/싫어요 만족도 조사</t>
  </si>
  <si>
    <t>사용자는 브리핑에 대해 좋아요 또는 싫어요와 추가의견을 표시할 수 있어야 한다.</t>
  </si>
  <si>
    <t>P3</t>
  </si>
  <si>
    <t>기업 상세와 타임라인</t>
  </si>
  <si>
    <t>시스템은 그래프와 직접 URL에서 기업 상세에 진입할 수 있게 해야 한다. 개요와 시세, 차트, 사건, 재무, 문서, 보유 영역을 준비되는 대로 표시해야 한다.</t>
  </si>
  <si>
    <t>기능 DTL01
시퀀스 D1</t>
  </si>
  <si>
    <t>시스템은 가상 계좌를 연결한 회원에게만 해당 기업의 모의 보유 수량, 평균 매입가, 평가 금액 및 자산 비중을 표시해야한다. 미보유 기업이나 관심 종목 모드에서는 보유 정보 영역을 표시하지 않아야 한다.</t>
  </si>
  <si>
    <t>기능 DTL02
시퀀스 D2</t>
  </si>
  <si>
    <t>시스템은 1일, 1개월, 1년 단위의 조회 기간을 제공해야 한다. 사용자가 기간을 변경하면 주가 차트와 해당 기간의 이슈 타임라인을 함께 갱신해야 한다. 기본 조회 기간은 1개월로 한다.</t>
  </si>
  <si>
    <t>기능 DTL03
시퀀스 D3</t>
  </si>
  <si>
    <t>동일 시점에 여러 사건이 존재하면 사건 수를 표시하고, 사용자가 해당 시점을 선택했을 때 사건별 카드를 펼쳐서 표시해야 한다. 사용자가 사건 카드를 선택하면 해당 사건의 상세 내용과 영향 경로를 강조해야 한다.</t>
  </si>
  <si>
    <t>기능 DTL04
시퀀스 D4</t>
  </si>
  <si>
    <t>시스템은 기준일이 명시된 최신 재무·실적 정보를 제공해야 한다. 시가총액, PER, PBR, 부채비율, 주요 사업, 매출 및 영업이익 추이, 유동비율과 이자보상비율을 표시해야 한다.</t>
  </si>
  <si>
    <t>기능 DTL05
시퀀스 D5</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</si>
  <si>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</si>
  <si>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기능 DTL06
시퀀스 D6</t>
  </si>
  <si>
    <t>사용자가 기업 상세에서 관계 그래프 또는 AI 질문 화면으로 이동한 후 돌아오면 선택 기업, 조회 기간, 선택 사건 및 스크롤 위치를 유지해야 한다. 사건 상세에서 관계 그래프로 이동하는 경우 선택 사건과 기업 정보를 전달하고 해당 영향 경로를 강조해야 한다.</t>
  </si>
  <si>
    <t>기능 DTL07
시퀀스 D7</t>
  </si>
  <si>
    <t>AI 챗봇</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</si>
  <si>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</si>
  <si>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기능 AIC01
시퀀스 A1</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</si>
  <si>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</si>
  <si>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기능 AIC02
시퀀스 A2</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</si>
  <si>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</si>
  <si>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기능 AIC03
시퀀스 A3</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</si>
  <si>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</si>
  <si>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기능 AIC04
시퀀스 A4</t>
  </si>
  <si>
    <t>팀 검토 전</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</si>
  <si>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</si>
  <si>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기능 AIC05
시퀀스 A5</t>
  </si>
  <si>
    <t>답변의 출처·확보된 인용·외부 원문과 관련 기업·이슈·관계를 확인할 수 있어야 한다. 그래프 강조는 실제로 존재하며 조회 권한이 있는 대상에만 적용해야 한다. AI 문장만을 근거로 새로운 관계선을 만들어서는 안 된다.</t>
  </si>
  <si>
    <t>기능 AIC06
시퀀스 A6</t>
  </si>
  <si>
    <t>새 대화 시작</t>
  </si>
  <si>
    <r>
      <rPr>
        <rFont val="Arial"/>
        <b/>
        <color rgb="FF202A23"/>
        <sz val="11.0"/>
      </rPr>
      <t>사용자가 이전 대화와 독립된 주제로 질문할 수 있도록 ‘새 대화’ 기능을 제공</t>
    </r>
    <r>
      <rPr>
        <rFont val="Arial"/>
        <color rgb="FF202A23"/>
        <sz val="11.0"/>
      </rPr>
      <t>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r>
  </si>
  <si>
    <t>사용자가 진행하던 대화를 이어갈 수 있도록 후속 질문은 같은 대화의 새 질문 작업으로 처리해야 한다. 패널을 닫아도 대화 기록을 삭제하거나 서버 작업을 취소하지 않아야 한다. 새 대화로 전환하지 않고 패널을 다시 열면 기존 대화의 작업 상태와 결과를 확인할 수 있어야 한다.</t>
  </si>
  <si>
    <t>기능 AIC07
시퀀스 A7</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</si>
  <si>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</si>
  <si>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기능 AIC08
시퀀스 A8</t>
  </si>
  <si>
    <t>공통</t>
  </si>
  <si>
    <t>공통 품질</t>
  </si>
  <si>
    <t>회원의 개인 정보는 해당 회원에게만 제공해야 한다. 비회원은 로그인 하여야지만 관심종목 기능을 이용할 수 있어야 하며, 다른 사용자의 정보에는 접근할 수 없어야 한다.</t>
  </si>
  <si>
    <t>기능 DTL02, AIC02, AIC04, AIC08</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</si>
  <si>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</si>
  <si>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기능 DTL01~DTL08, AIC05~AIC08</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</si>
  <si>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</si>
  <si>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기능 AIC02, AIC05, AIC08</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</si>
  <si>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</si>
  <si>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기능 DTL01, DTL08</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</si>
  <si>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사건과 관련 없거나 시점이 일치하지 않는 자료는 근거로 사용해서는 안 된다.</t>
  </si>
  <si>
    <t>기능 GRF03~GRF05, DTL04, AIC05</t>
  </si>
  <si>
    <t>AI 모델에는 답변 생성에 필요한 기업, 사건, 관계 경로 및 허용된 근거만 전달해야 한다. 비밀번호, 인증토큰, 세선 정보 및 불필요한 개인식별정보는 모델 입력과 로그에 포함해서는 안 된다. 보유 종목과 관심 종목 정보는 개인화 답변에 필요한 경우에만 최소 범위로 전달해야 한다.</t>
  </si>
  <si>
    <t>기능 AIC04, AIC05</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</si>
  <si>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</si>
  <si>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기능 전체</t>
  </si>
  <si>
    <t>추가 제안 · 검토 전</t>
  </si>
  <si>
    <t>운영 추적</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</si>
  <si>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</si>
  <si>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기능 AIC02, AIC08, BRF01</t>
  </si>
  <si>
    <t>보완 제안 · 검토 전</t>
  </si>
  <si>
    <t>중단 작업 복구</t>
  </si>
  <si>
    <t>작업이 중단된 경우 시스템은 기존 작업 상태를 확인한 후 재시도 또는 실패 처리를 수행해야 한다. 재시도로 인해 AI 답변이나 브리핑이 중복 생성되어서는 안 되며, 복구할 수 없는 경우 사용자에게 실패 사유와 재실행 방법을 안내해야 한다.</t>
  </si>
  <si>
    <t>기능 전체, DTL07</t>
  </si>
  <si>
    <t>지원 환경</t>
  </si>
  <si>
    <t>시스템은 팀이 지정한 데스크톱 브라우저와 최소 화면 크기에서 주요 기능을 정상적으로 제공해야 한다. 지원 대상 브라우저, 최소 버전, 해상도 및 모바일 지원 여부를 문서에 명시해야 한다.</t>
  </si>
  <si>
    <t>웹 접근성</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</si>
  <si>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</si>
  <si>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정기 갱신 반영 시간 보장</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</si>
  <si>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</si>
  <si>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데이터 관리</t>
  </si>
  <si>
    <t>사용자별로 초기 설정, 관심종목, 모의 보유 정보를 저장해야 한다. 보유 수량·평균 매입가·비중과 해당 정보의 기준 시점을 함께 저장해야 한다. 정보가 없는 경우와 값이 0인 경우는 구분해야 한다.</t>
  </si>
  <si>
    <t>기능 AUT05~AUT08, DTL02</t>
  </si>
  <si>
    <t>어떤 기업이나 이슈가 서로 연결되어 있는지 저장해야 한다. 관계의 종류와 이를 뒷받침하는 뉴스·공시도 함께 연결해야 한다.</t>
  </si>
  <si>
    <t>기능 GRF01~GRF05, BRF04</t>
  </si>
  <si>
    <t>사건과 그 사건을 다룬 뉴스·공시는 따로 관리해야 한다. 하나의 사건에 여러 문서를 연결할 수 있어야 하며, 사건이 일어난 날짜와 기사가 나온 날짜를 구분해야 한다.</t>
  </si>
  <si>
    <t>기능 DTL04, DTL06, AIC04</t>
  </si>
  <si>
    <t>브리핑 정보 저장</t>
  </si>
  <si>
    <t>브리핑의 날짜, 출근·퇴근 구분, 사용한 자료의 기간, 생성 시각과 내용을 저장해야 한다. 브리핑에 사용한 이슈와 근거도 함께 연결해야 한다.</t>
  </si>
  <si>
    <t>기능 BRF01~BRF04</t>
  </si>
  <si>
    <t>데이터관리</t>
  </si>
  <si>
    <t>신규 경제뉴스 정기 수집 및 이슈 분석</t>
  </si>
  <si>
    <t>분석시스템은 한국 시간 기준 매시 05분과 35분에 신규 경제뉴스 수집을 시작해야 한다. 직전 성공한 수집의 기준 시점을 바탕으로 미수집 뉴스를 확보하고 중복 기사를 제외해야 한다. 사건을 추출하여 기존 이슈에 연결하거나 신규 이슈를 생성하고, 관련 기업·영향 경로·원문 근거를 분석해야 한다. 자동 검증 기준을 통과한 결과만 공개 대상으로 포함해야 한다.</t>
  </si>
  <si>
    <t>분석 결과 저장 및 조회 반영</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</si>
  <si>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</si>
  <si>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대화와 질문 기록</t>
  </si>
  <si>
    <t>대화별로 질문, 질문 대상과 기간, 사용한 근거, 처리 상태와 답변을 저장해야 한다. 같은 질문을 재시도할 때는 처음 사용한 조건을 유지해야 한다.</t>
  </si>
  <si>
    <t>기능 AIC01~AIC08</t>
  </si>
  <si>
    <t>외부 연동</t>
  </si>
  <si>
    <t>시스템은 소셜 인증 결과를 검증해 사용자 식별과 가입 또는 로그인을 수행해야 한다. 지원 제공자, 동의 항목 및 취소와 실패의 화면 동작은 별도 확정해야 한다.</t>
  </si>
  <si>
    <t>기능 AUT04</t>
  </si>
  <si>
    <t>시스템은 프로젝트용 Mock 데이터에서 프로필과 계좌 식별, 예수금 및 보유종목을 조회할 수 있어야 한다. 실제 증권사 자격 증명을 요구하는 실계좌 연결로 구현하지 않아야 한다.</t>
  </si>
  <si>
    <t>기능 AUT06, AUT08, DTL02</t>
  </si>
  <si>
    <t>시스템은 필요한 시세, 재무, 뉴스와 공시 및 근거를 대상과 기간에 맞게 조회할 수 있어야 한다. 출처와 기준 시점 및 미제공 상태를 구분할 수 있어야 한다. 토스 api와 뉴스 크롤링을 이용한다.</t>
  </si>
  <si>
    <t>기능 GRF02~GRF05, BRF01~BRF04, DTL01~DTL06</t>
  </si>
  <si>
    <t>시스템은 권한 범위의 질문과 근거를 분석 서비스에 전달하고 결과의 형식과 참조를 검증할 수 있어야 한다. 모델 장애를 자료 부족으로 바꿔 표시해서는 안 된다.</t>
  </si>
  <si>
    <t>기능 AIC04, AIC05, AIC08, BRF01</t>
  </si>
  <si>
    <t>관리자</t>
  </si>
  <si>
    <t>통계</t>
  </si>
  <si>
    <t>기업 및 사용자 통계 조사와 확인</t>
  </si>
  <si>
    <t>관리자는 인증된 별도 관리자 패널에서, 사용자들이 주로 관심을 표한 종목, 많이 보유중인 종목, 자주 확인한 노드 등을 정리된 통계의 형태로 확인 가능하여야 한다. 이때 통계는 요약 및 각 기업별 상세정보, 온보딩 완료율, 그래프 노드·간선 클릭률, 브리핑 조회율 및 관심도, AI 질문 이용률 확인 등을 포함하며, 사용자의 실명 등 개인정보는 포함하지 않는다.</t>
  </si>
  <si>
    <t>AI 대화록, 뉴스 요약, 브리핑 등 수집 및 선호도 확인</t>
  </si>
  <si>
    <t>사용자 메뉴에 좋아요 버튼과 싫어요 버튼을 표시하게 하며 이를 통해 관리자는 각 AI 기능에 대한 품질 및 선호도를 지속적으로 확인, 개선할 수 있도록 한다. AI 대화록의 경우 개인정보를 마스킹한 원본을 확인 가능하도록 한다.</t>
  </si>
  <si>
    <t>관제</t>
  </si>
  <si>
    <t>AI 기반 이슈 판단의 진행 상태, 이슈 각각의 통과/보류/폐기 상태 등 확인 및 보류된 이슈의 검수 후 허용/거부 선택</t>
  </si>
  <si>
    <t>관리자에게는 관계 그래프(전체 그래프)에 포함되는 이슈 및 기업간의 관계에 대하여 AI가 조사하고 개발한 이슈, 연결한 노드 등을 실시간으로 확인, 관제, 관리할 수 있는 기능이 제공되어야 한다. 승인된 이슈가 GraphDB에 반영됐는지, 사용자에게 어떤 버전의 그래프가 표시되고 있는지 확인할 수 있어야 하며 실패 로그 확인 및 실패에 대한 재시도 기능도 제공되어야 한다.</t>
  </si>
  <si>
    <t>AI 운영</t>
  </si>
  <si>
    <t>AI 사용량·비용·오류 통계</t>
  </si>
  <si>
    <t>AI 운영 상태와 비용을 파악할 수 있도록 챗봇·뉴스 분석·브리핑별 요청 수, 성공·실패 건수, 처리 시간과 사용량을 제공해야 한다. 비용을 제공하는 경우 실제 비용과 추정 비용을 구분해야 한다.</t>
  </si>
  <si>
    <t>관리</t>
  </si>
  <si>
    <t>회원 관리</t>
  </si>
  <si>
    <t>관리자는 회원의 활동 통계를 확인할 수 있어야 하며, 이를 기반으로 특정 사용자에 대한 조치(차단, 차단 해제) 를 취할 수 있어야 한다.</t>
  </si>
  <si>
    <t>브리핑 운영</t>
  </si>
  <si>
    <t>회차별 생성·검증·발행 상태 조회</t>
  </si>
  <si>
    <t>회차별 생성·검증·발행 상태 조회    관리자가 출퇴근 브리핑의 정상 제공 여부를 확인할 수 있도록 회차별 데이터 기준 시점, 생성·검증·발행 상태 및 실패 사유를 제공. 지연 또는 실패한 회차를 식별하고, 미발행 회차에 대해 허용된 재처리를 요청할 수 있어야 한다.</t>
  </si>
  <si>
    <t>발행 브리핑 정정 관리</t>
  </si>
  <si>
    <t>발행 후 발견된 오류를 알릴 수 있도록 관리자는 브리핑에 정정 내용을 등록하거나 제공을 중단할 수 있어야 한다. 기존 발행 내용을 조용히 덮어쓰지 않고 원래 내용, 정정 내용, 사유와 시점을 구분해 보존해야 한다.</t>
  </si>
  <si>
    <t>통합</t>
  </si>
  <si>
    <t>대시보드</t>
  </si>
  <si>
    <t>관리자는 대시보드를 통해 시스템의 전체 상황, 통계 등에 대한 요약을 확인할 수 있어야 하며, 각 관리 기능에 빠르게 접근할 수 있어야 한다.</t>
  </si>
  <si>
    <t>인증</t>
  </si>
  <si>
    <t>관리자 로그인(SSO, ID/PW)</t>
  </si>
  <si>
    <t>승인된 관리자 계정만 관리자 화면에 접속할 수 있어야 한다. 인증이 만료되면 다시 로그인해야 하며, 관리자 권한이 없는 사용자는 관리자 기능을 실행할 수 없어야 한다.</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</si>
</sst>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rlito"/>
      <scheme val="minor"/>
    </font>
    <font>
      <sz val="11.0"/>
      <color rgb="FF202A23"/>
      <name val="Apple SD Gothic Neo"/>
    </font>
    <font>
      <b/>
      <sz val="17.0"/>
      <color rgb="FF202A23"/>
      <name val="Apple SD Gothic Neo"/>
    </font>
    <font>
      <b/>
      <sz val="17.0"/>
      <color rgb="FF202A23"/>
      <name val="Arial"/>
    </font>
    <font>
      <b/>
      <sz val="16.0"/>
      <color rgb="FF202A23"/>
      <name val="Arial"/>
    </font>
    <font>
      <sz val="10.0"/>
      <color rgb="FF53615A"/>
      <name val="Apple SD Gothic Neo"/>
    </font>
    <font>
      <sz val="10.0"/>
      <color rgb="FF53615A"/>
      <name val="Arial"/>
    </font>
    <font>
      <sz val="11.0"/>
      <color rgb="FF202A23"/>
      <name val="Arial"/>
    </font>
    <font>
      <b/>
      <sz val="11.0"/>
      <color rgb="FFFFFFFF"/>
      <name val="Apple SD Gothic Neo"/>
    </font>
    <font>
      <b/>
      <sz val="12.0"/>
      <color rgb="FF202A23"/>
      <name val="Apple SD Gothic Neo"/>
    </font>
    <font>
      <b/>
      <sz val="11.0"/>
      <color rgb="FF228A08"/>
      <name val="Apple SD Gothic Neo"/>
    </font>
    <font>
      <b/>
      <sz val="11.0"/>
      <color rgb="FFFFFFFF"/>
      <name val="Arial"/>
    </font>
    <font>
      <b/>
      <sz val="11.0"/>
      <color rgb="FFFFFFFF"/>
      <name val="&quot;Apple SD Gothic Neo&quot;"/>
    </font>
    <font>
      <b/>
      <sz val="11.0"/>
      <color rgb="FF228A08"/>
      <name val="Arial"/>
    </font>
    <font>
      <b/>
      <sz val="14.0"/>
      <color rgb="FF202A23"/>
      <name val="Apple SD Gothic Neo"/>
    </font>
    <font>
      <color theme="1"/>
      <name val="Carlito"/>
      <scheme val="minor"/>
    </font>
    <font>
      <color theme="1"/>
      <name val="Arial"/>
    </font>
  </fonts>
  <fills count="6">
    <fill>
      <patternFill patternType="none"/>
    </fill>
    <fill>
      <patternFill patternType="lightGray"/>
    </fill>
    <fill>
      <patternFill patternType="solid">
        <fgColor rgb="FF228A08"/>
        <bgColor rgb="FF228A08"/>
      </patternFill>
    </fill>
    <fill>
      <patternFill patternType="solid">
        <fgColor rgb="FFFFFFFF"/>
        <bgColor rgb="FFFFFFFF"/>
      </patternFill>
    </fill>
    <fill>
      <patternFill patternType="solid">
        <fgColor rgb="FFEDF6E9"/>
        <bgColor rgb="FFEDF6E9"/>
      </patternFill>
    </fill>
    <fill>
      <patternFill patternType="solid">
        <fgColor theme="0"/>
        <bgColor theme="0"/>
      </patternFill>
    </fill>
  </fills>
  <borders count="9">
    <border/>
    <border>
      <bottom style="thin">
        <color rgb="FF228A08"/>
      </bottom>
    </border>
    <border>
      <left style="thin">
        <color rgb="FFFFFFFF"/>
      </left>
      <right style="thin">
        <color rgb="FFFFFFFF"/>
      </right>
      <top style="thin">
        <color rgb="FFFFFFFF"/>
      </top>
      <bottom style="thin">
        <color rgb="FFFFFFFF"/>
      </bottom>
    </border>
    <border>
      <bottom style="thin">
        <color rgb="FFD2DBCF"/>
      </bottom>
    </border>
    <border>
      <top style="thin">
        <color rgb="FFD2DBCF"/>
      </top>
      <bottom style="thin">
        <color rgb="FFD2DBCF"/>
      </bottom>
    </border>
    <border>
      <top style="medium">
        <color rgb="FF228A08"/>
      </top>
      <bottom style="thin">
        <color rgb="FFD2DBCF"/>
      </bottom>
    </border>
    <border>
      <top style="thin">
        <color rgb="FFD2DBCF"/>
      </top>
    </border>
    <border>
      <top style="medium">
        <color rgb="FF228A08"/>
      </top>
    </border>
    <border>
      <top style="thick">
        <color rgb="FF228A08"/>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1" fillId="0" fontId="2" numFmtId="0" xfId="0" applyAlignment="1" applyBorder="1" applyFont="1">
      <alignment vertical="center"/>
    </xf>
    <xf borderId="1" fillId="0" fontId="3" numFmtId="0" xfId="0" applyAlignment="1" applyBorder="1" applyFont="1">
      <alignment readingOrder="0" vertical="center"/>
    </xf>
    <xf borderId="1" fillId="0" fontId="1" numFmtId="0" xfId="0" applyAlignment="1" applyBorder="1" applyFont="1">
      <alignment vertical="center"/>
    </xf>
    <xf borderId="1" fillId="0" fontId="4" numFmtId="0" xfId="0" applyAlignment="1" applyBorder="1" applyFont="1">
      <alignment readingOrder="0" vertical="center"/>
    </xf>
    <xf borderId="0" fillId="0" fontId="5" numFmtId="0" xfId="0" applyAlignment="1" applyFont="1">
      <alignment vertical="center"/>
    </xf>
    <xf borderId="1" fillId="0" fontId="1" numFmtId="0" xfId="0" applyAlignment="1" applyBorder="1" applyFont="1">
      <alignment shrinkToFit="0" vertical="center" wrapText="1"/>
    </xf>
    <xf borderId="0" fillId="0" fontId="6" numFmtId="0" xfId="0" applyAlignment="1" applyFont="1">
      <alignment readingOrder="0" vertical="center"/>
    </xf>
    <xf borderId="0" fillId="0" fontId="7" numFmtId="0" xfId="0" applyAlignment="1" applyFont="1">
      <alignment readingOrder="0" vertical="center"/>
    </xf>
    <xf borderId="2" fillId="2" fontId="8" numFmtId="0" xfId="0" applyAlignment="1" applyBorder="1" applyFill="1" applyFont="1">
      <alignment horizontal="center" readingOrder="0" shrinkToFit="0" vertical="center" wrapText="1"/>
    </xf>
    <xf borderId="0" fillId="0" fontId="9" numFmtId="0" xfId="0" applyAlignment="1" applyFont="1">
      <alignment vertical="center"/>
    </xf>
    <xf borderId="3" fillId="3" fontId="10" numFmtId="0" xfId="0" applyAlignment="1" applyBorder="1" applyFill="1" applyFont="1">
      <alignment shrinkToFit="0" vertical="top" wrapText="1"/>
    </xf>
    <xf borderId="3" fillId="3" fontId="1" numFmtId="0" xfId="0" applyAlignment="1" applyBorder="1" applyFill="1" applyFont="1">
      <alignment shrinkToFit="0" vertical="top" wrapText="1"/>
    </xf>
    <xf borderId="0" fillId="0" fontId="5" numFmtId="0" xfId="0" applyAlignment="1" applyFont="1">
      <alignment shrinkToFit="0" vertical="center" wrapText="1"/>
    </xf>
    <xf borderId="4" fillId="3" fontId="10" numFmtId="0" xfId="0" applyAlignment="1" applyBorder="1" applyFill="1" applyFont="1">
      <alignment shrinkToFit="0" vertical="top" wrapText="1"/>
    </xf>
    <xf borderId="2" fillId="2" fontId="11" numFmtId="49" xfId="0" applyAlignment="1" applyBorder="1" applyFill="1" applyFont="1" applyNumberFormat="1">
      <alignment horizontal="center" readingOrder="0" shrinkToFit="0" vertical="center" wrapText="1"/>
    </xf>
    <xf borderId="4" fillId="3" fontId="1" numFmtId="0" xfId="0" applyAlignment="1" applyBorder="1" applyFill="1" applyFont="1">
      <alignment shrinkToFit="0" vertical="top" wrapText="1"/>
    </xf>
    <xf borderId="2" fillId="2" fontId="12" numFmtId="49" xfId="0" applyAlignment="1" applyBorder="1" applyFill="1" applyFont="1" applyNumberFormat="1">
      <alignment horizontal="center" readingOrder="0" shrinkToFit="0" vertical="center" wrapText="0"/>
    </xf>
    <xf borderId="2" fillId="2" fontId="11" numFmtId="49" xfId="0" applyAlignment="1" applyBorder="1" applyFill="1" applyFont="1" applyNumberFormat="1">
      <alignment horizontal="center" readingOrder="0" shrinkToFit="0" vertical="center" wrapText="0"/>
    </xf>
    <xf borderId="3" fillId="3" fontId="1" numFmtId="0" xfId="0" applyAlignment="1" applyBorder="1" applyFill="1" applyFont="1">
      <alignment horizontal="center" shrinkToFit="0" vertical="top" wrapText="1"/>
    </xf>
    <xf borderId="2" fillId="2" fontId="8" numFmtId="49" xfId="0" applyAlignment="1" applyBorder="1" applyFill="1" applyFont="1" applyNumberFormat="1">
      <alignment horizontal="center" readingOrder="0" shrinkToFit="0" vertical="center" wrapText="1"/>
    </xf>
    <xf borderId="4" fillId="3" fontId="1" numFmtId="0" xfId="0" applyAlignment="1" applyBorder="1" applyFill="1" applyFont="1">
      <alignment horizontal="center" shrinkToFit="0" vertical="top" wrapText="1"/>
    </xf>
    <xf borderId="5" fillId="3" fontId="13" numFmtId="0" xfId="0" applyAlignment="1" applyBorder="1" applyFill="1" applyFont="1">
      <alignment readingOrder="0" shrinkToFit="0" vertical="top" wrapText="1"/>
    </xf>
    <xf borderId="5" fillId="4" fontId="1" numFmtId="0" xfId="0" applyAlignment="1" applyBorder="1" applyFill="1" applyFont="1">
      <alignment shrinkToFit="0" vertical="top" wrapText="1"/>
    </xf>
    <xf borderId="5" fillId="4" fontId="7" numFmtId="0" xfId="0" applyAlignment="1" applyBorder="1" applyFill="1" applyFont="1">
      <alignment readingOrder="0" shrinkToFit="0" vertical="top" wrapText="1"/>
    </xf>
    <xf borderId="5" fillId="3" fontId="7" numFmtId="0" xfId="0" applyAlignment="1" applyBorder="1" applyFill="1" applyFont="1">
      <alignment readingOrder="0" shrinkToFit="0" vertical="top" wrapText="1"/>
    </xf>
    <xf borderId="5" fillId="3" fontId="1" numFmtId="0" xfId="0" applyAlignment="1" applyBorder="1" applyFill="1" applyFont="1">
      <alignment shrinkToFit="0" vertical="top" wrapText="1"/>
    </xf>
    <xf borderId="5" fillId="3" fontId="7" numFmtId="0" xfId="0" applyAlignment="1" applyBorder="1" applyFill="1" applyFont="1">
      <alignment readingOrder="0" shrinkToFit="0" vertical="center" wrapText="1"/>
    </xf>
    <xf borderId="5" fillId="3" fontId="7" numFmtId="0" xfId="0" applyAlignment="1" applyBorder="1" applyFill="1" applyFont="1">
      <alignment horizontal="center" readingOrder="0" shrinkToFit="0" vertical="center" wrapText="1"/>
    </xf>
    <xf borderId="4" fillId="3" fontId="7" numFmtId="0" xfId="0" applyAlignment="1" applyBorder="1" applyFill="1" applyFont="1">
      <alignment readingOrder="0" shrinkToFit="0" vertical="top" wrapText="1"/>
    </xf>
    <xf borderId="4" fillId="3" fontId="7" numFmtId="0" xfId="0" applyAlignment="1" applyBorder="1" applyFill="1" applyFont="1">
      <alignment readingOrder="0" shrinkToFit="0" vertical="center" wrapText="1"/>
    </xf>
    <xf borderId="4" fillId="3" fontId="7" numFmtId="0" xfId="0" applyAlignment="1" applyBorder="1" applyFill="1" applyFont="1">
      <alignment horizontal="center" readingOrder="0" shrinkToFit="0" vertical="center" wrapText="1"/>
    </xf>
    <xf borderId="4" fillId="4" fontId="1" numFmtId="0" xfId="0" applyAlignment="1" applyBorder="1" applyFill="1" applyFont="1">
      <alignment shrinkToFit="0" vertical="top" wrapText="1"/>
    </xf>
    <xf borderId="6" fillId="3" fontId="1" numFmtId="0" xfId="0" applyAlignment="1" applyBorder="1" applyFill="1" applyFont="1">
      <alignment shrinkToFit="0" vertical="top" wrapText="1"/>
    </xf>
    <xf borderId="6" fillId="3" fontId="1" numFmtId="0" xfId="0" applyAlignment="1" applyBorder="1" applyFill="1" applyFont="1">
      <alignment horizontal="center" shrinkToFit="0" vertical="top" wrapText="1"/>
    </xf>
    <xf borderId="0" fillId="0" fontId="14" numFmtId="0" xfId="0" applyAlignment="1" applyFont="1">
      <alignment vertical="center"/>
    </xf>
    <xf borderId="0" fillId="2" fontId="8" numFmtId="0" xfId="0" applyAlignment="1" applyFill="1" applyFont="1">
      <alignment horizontal="center" vertical="center"/>
    </xf>
    <xf borderId="4" fillId="4" fontId="7" numFmtId="0" xfId="0" applyAlignment="1" applyBorder="1" applyFill="1" applyFont="1">
      <alignment readingOrder="0" shrinkToFit="0" vertical="top" wrapText="1"/>
    </xf>
    <xf borderId="0" fillId="3" fontId="7" numFmtId="0" xfId="0" applyAlignment="1" applyFill="1" applyFont="1">
      <alignment readingOrder="0" shrinkToFit="0" vertical="top" wrapText="1"/>
    </xf>
    <xf borderId="0" fillId="3" fontId="1" numFmtId="0" xfId="0" applyAlignment="1" applyFill="1" applyFont="1">
      <alignment shrinkToFit="0" vertical="top" wrapText="1"/>
    </xf>
    <xf borderId="0" fillId="3" fontId="7" numFmtId="0" xfId="0" applyAlignment="1" applyFill="1" applyFont="1">
      <alignment readingOrder="0" shrinkToFit="0" vertical="center" wrapText="1"/>
    </xf>
    <xf borderId="0" fillId="3" fontId="7" numFmtId="0" xfId="0" applyAlignment="1" applyFill="1" applyFont="1">
      <alignment horizontal="center" readingOrder="0" shrinkToFit="0" vertical="center" wrapText="1"/>
    </xf>
    <xf borderId="0" fillId="0" fontId="15" numFmtId="0" xfId="0" applyAlignment="1" applyFont="1">
      <alignment readingOrder="0"/>
    </xf>
    <xf borderId="7" fillId="4" fontId="1" numFmtId="0" xfId="0" applyAlignment="1" applyBorder="1" applyFill="1" applyFont="1">
      <alignment shrinkToFit="0" vertical="top" wrapText="1"/>
    </xf>
    <xf borderId="7" fillId="4" fontId="7" numFmtId="0" xfId="0" applyAlignment="1" applyBorder="1" applyFill="1" applyFont="1">
      <alignment readingOrder="0" shrinkToFit="0" vertical="top" wrapText="1"/>
    </xf>
    <xf borderId="7" fillId="3" fontId="7" numFmtId="0" xfId="0" applyAlignment="1" applyBorder="1" applyFill="1" applyFont="1">
      <alignment readingOrder="0" shrinkToFit="0" vertical="top" wrapText="1"/>
    </xf>
    <xf borderId="7" fillId="3" fontId="1" numFmtId="0" xfId="0" applyAlignment="1" applyBorder="1" applyFill="1" applyFont="1">
      <alignment shrinkToFit="0" vertical="top" wrapText="1"/>
    </xf>
    <xf borderId="6" fillId="3" fontId="10" numFmtId="0" xfId="0" applyAlignment="1" applyBorder="1" applyFill="1" applyFont="1">
      <alignment shrinkToFit="0" vertical="top" wrapText="1"/>
    </xf>
    <xf borderId="7" fillId="3" fontId="7" numFmtId="0" xfId="0" applyAlignment="1" applyBorder="1" applyFill="1" applyFont="1">
      <alignment readingOrder="0" shrinkToFit="0" vertical="center" wrapText="1"/>
    </xf>
    <xf borderId="7" fillId="3" fontId="7" numFmtId="0" xfId="0" applyAlignment="1" applyBorder="1" applyFill="1" applyFont="1">
      <alignment horizontal="center" readingOrder="0" shrinkToFit="0" vertical="center" wrapText="1"/>
    </xf>
    <xf borderId="0" fillId="4" fontId="1" numFmtId="0" xfId="0" applyAlignment="1" applyFill="1" applyFont="1">
      <alignment shrinkToFit="0" vertical="top" wrapText="1"/>
    </xf>
    <xf borderId="0" fillId="2" fontId="8" numFmtId="0" xfId="0" applyAlignment="1" applyFill="1" applyFont="1">
      <alignment vertical="center"/>
    </xf>
    <xf borderId="0" fillId="4" fontId="7" numFmtId="0" xfId="0" applyAlignment="1" applyFill="1" applyFont="1">
      <alignment readingOrder="0" shrinkToFit="0" vertical="top" wrapText="1"/>
    </xf>
    <xf borderId="0" fillId="0" fontId="1" numFmtId="0" xfId="0" applyAlignment="1" applyFont="1">
      <alignment shrinkToFit="0" vertical="center" wrapText="0"/>
    </xf>
    <xf borderId="3" fillId="4" fontId="1" numFmtId="0" xfId="0" applyAlignment="1" applyBorder="1" applyFill="1" applyFont="1">
      <alignment shrinkToFit="0" vertical="top" wrapText="1"/>
    </xf>
    <xf borderId="3" fillId="3" fontId="7" numFmtId="0" xfId="0" applyAlignment="1" applyBorder="1" applyFill="1" applyFont="1">
      <alignment readingOrder="0" shrinkToFit="0" vertical="top" wrapText="1"/>
    </xf>
    <xf borderId="3" fillId="3" fontId="7" numFmtId="0" xfId="0" applyAlignment="1" applyBorder="1" applyFill="1" applyFont="1">
      <alignment readingOrder="0" shrinkToFit="0" vertical="center" wrapText="1"/>
    </xf>
    <xf borderId="3" fillId="3" fontId="7" numFmtId="0" xfId="0" applyAlignment="1" applyBorder="1" applyFill="1" applyFont="1">
      <alignment horizontal="center" readingOrder="0" shrinkToFit="0" vertical="center" wrapText="1"/>
    </xf>
    <xf borderId="6" fillId="4" fontId="1" numFmtId="0" xfId="0" applyAlignment="1" applyBorder="1" applyFill="1" applyFont="1">
      <alignment shrinkToFit="0" vertical="top" wrapText="1"/>
    </xf>
    <xf borderId="8" fillId="4" fontId="1" numFmtId="0" xfId="0" applyAlignment="1" applyBorder="1" applyFill="1" applyFont="1">
      <alignment shrinkToFit="0" vertical="top" wrapText="1"/>
    </xf>
    <xf borderId="0" fillId="5" fontId="15" numFmtId="0" xfId="0" applyAlignment="1" applyFill="1" applyFont="1">
      <alignment horizontal="left" readingOrder="0" shrinkToFit="0" vertical="top" wrapText="1"/>
    </xf>
    <xf borderId="0" fillId="5" fontId="15" numFmtId="0" xfId="0" applyAlignment="1" applyFill="1" applyFont="1">
      <alignment readingOrder="0" shrinkToFit="0" vertical="top" wrapText="1"/>
    </xf>
    <xf borderId="3" fillId="4" fontId="7" numFmtId="0" xfId="0" applyAlignment="1" applyBorder="1" applyFill="1" applyFont="1">
      <alignment readingOrder="0" shrinkToFit="0" vertical="top" wrapText="1"/>
    </xf>
    <xf borderId="4" fillId="3" fontId="1" numFmtId="0" xfId="0" applyAlignment="1" applyBorder="1" applyFill="1" applyFont="1">
      <alignment readingOrder="0" shrinkToFit="0" vertical="top" wrapText="1"/>
    </xf>
    <xf borderId="4" fillId="3" fontId="1" numFmtId="0" xfId="0" applyAlignment="1" applyBorder="1" applyFill="1" applyFont="1">
      <alignment horizontal="center" shrinkToFit="0" vertical="center" wrapText="1"/>
    </xf>
    <xf borderId="4" fillId="5" fontId="7" numFmtId="0" xfId="0" applyAlignment="1" applyBorder="1" applyFill="1" applyFont="1">
      <alignment readingOrder="0" shrinkToFit="0" vertical="top" wrapText="1"/>
    </xf>
    <xf borderId="0" fillId="5" fontId="16" numFmtId="0" xfId="0" applyAlignment="1" applyFill="1" applyFont="1">
      <alignment readingOrder="0" shrinkToFit="0" vertical="top" wrapText="1"/>
    </xf>
    <xf borderId="5" fillId="3" fontId="1" numFmtId="0" xfId="0" applyAlignment="1" applyBorder="1" applyFill="1" applyFont="1">
      <alignment horizontal="center" shrinkToFit="0" vertical="center" wrapText="1"/>
    </xf>
    <xf borderId="0" fillId="5" fontId="15" numFmtId="0" xfId="0" applyAlignment="1" applyFill="1" applyFont="1">
      <alignment readingOrder="0" shrinkToFit="0" vertical="center" wrapText="0"/>
    </xf>
    <xf borderId="6" fillId="3" fontId="7" numFmtId="0" xfId="0" applyAlignment="1" applyBorder="1" applyFill="1" applyFont="1">
      <alignment readingOrder="0" shrinkToFit="0" vertical="top" wrapText="1"/>
    </xf>
    <xf borderId="6" fillId="3" fontId="7" numFmtId="0" xfId="0" applyAlignment="1" applyBorder="1" applyFill="1" applyFont="1">
      <alignment readingOrder="0" shrinkToFit="0" vertical="center" wrapText="1"/>
    </xf>
    <xf borderId="6" fillId="3" fontId="1" numFmtId="0" xfId="0" applyAlignment="1" applyBorder="1" applyFill="1" applyFont="1">
      <alignment horizontal="center" shrinkToFit="0" vertical="center" wrapText="1"/>
    </xf>
    <xf borderId="8" fillId="4" fontId="7" numFmtId="0" xfId="0" applyAlignment="1" applyBorder="1" applyFill="1" applyFont="1">
      <alignment readingOrder="0" shrinkToFit="0" vertical="top" wrapText="1"/>
    </xf>
    <xf borderId="8" fillId="3" fontId="7" numFmtId="0" xfId="0" applyAlignment="1" applyBorder="1" applyFill="1" applyFont="1">
      <alignment readingOrder="0" shrinkToFit="0" vertical="top" wrapText="1"/>
    </xf>
    <xf borderId="8" fillId="3" fontId="1" numFmtId="0" xfId="0" applyAlignment="1" applyBorder="1" applyFill="1" applyFont="1">
      <alignment shrinkToFit="0" vertical="top" wrapText="1"/>
    </xf>
    <xf borderId="8" fillId="3" fontId="7" numFmtId="0" xfId="0" applyAlignment="1" applyBorder="1" applyFill="1" applyFont="1">
      <alignment readingOrder="0" shrinkToFit="0" vertical="center" wrapText="1"/>
    </xf>
    <xf borderId="8" fillId="3" fontId="1" numFmtId="0" xfId="0" applyAlignment="1" applyBorder="1" applyFill="1" applyFont="1">
      <alignment horizontal="center" shrinkToFit="0" vertical="center" wrapText="1"/>
    </xf>
    <xf borderId="0" fillId="3" fontId="1" numFmtId="0" xfId="0" applyAlignment="1" applyFill="1" applyFont="1">
      <alignment horizontal="center" shrinkToFit="0" vertical="center" wrapText="1"/>
    </xf>
    <xf borderId="0" fillId="0" fontId="15" numFmtId="0" xfId="0" applyAlignment="1" applyFont="1">
      <alignment shrinkToFit="0"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FF2CC"/>
          <bgColor rgb="FFFFF2CC"/>
        </patternFill>
      </fill>
      <border/>
    </dxf>
  </dxfs>
  <tableStyles count="3">
    <tableStyle count="4" pivot="0" name="검증 기준-style">
      <tableStyleElement dxfId="1" type="headerRow"/>
      <tableStyleElement dxfId="2" type="firstRowStripe"/>
      <tableStyleElement dxfId="3" type="secondRowStripe"/>
      <tableStyleElement dxfId="4" size="0" type="wholeTable"/>
    </tableStyle>
    <tableStyle count="4" pivot="0" name="요구사항 정의서-style">
      <tableStyleElement dxfId="1" type="headerRow"/>
      <tableStyleElement dxfId="2" type="firstRowStripe"/>
      <tableStyleElement dxfId="3" type="secondRowStripe"/>
      <tableStyleElement dxfId="4" size="0" type="wholeTable"/>
    </tableStyle>
    <tableStyle count="4" pivot="0" name="정책 결정-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H91" displayName="Requirements" name="Requirements" id="3">
  <tableColumns count="8">
    <tableColumn name="요구사항 ID" id="1"/>
    <tableColumn name="구분" id="2"/>
    <tableColumn name="서비스(메뉴)" id="3"/>
    <tableColumn name="필요 기능" id="4"/>
    <tableColumn name="기능상세설명" id="5"/>
    <tableColumn name="Column 6" id="6"/>
    <tableColumn name="우선순위" id="7"/>
    <tableColumn name="확정 상태" id="8"/>
  </tableColumns>
  <tableStyleInfo name="요구사항 정의서-style" showColumnStripes="0" showFirstColumn="1" showLastColumn="1" showRowStripes="1"/>
</table>
</file>

<file path=xl/tables/table2.xml><?xml version="1.0" encoding="utf-8"?>
<table xmlns="http://schemas.openxmlformats.org/spreadsheetml/2006/main" ref="A6:D59" displayName="Acceptance" name="Acceptance" id="1">
  <tableColumns count="4">
    <tableColumn name="요구사항 ID" id="1"/>
    <tableColumn name="요구사항명" id="2"/>
    <tableColumn name="검증 기준" id="3"/>
    <tableColumn name="관련 결정 항목" id="4"/>
  </tableColumns>
  <tableStyleInfo name="검증 기준-style" showColumnStripes="0" showFirstColumn="1" showLastColumn="1" showRowStripes="1"/>
</table>
</file>

<file path=xl/tables/table3.xml><?xml version="1.0" encoding="utf-8"?>
<table xmlns="http://schemas.openxmlformats.org/spreadsheetml/2006/main" ref="A6:E22" displayName="Decisions" name="Decisions" id="2">
  <tableColumns count="5">
    <tableColumn name="결정 ID" id="1"/>
    <tableColumn name="결정 항목" id="2"/>
    <tableColumn name="결정할 내용" id="3"/>
    <tableColumn name="관련 요구사항" id="4"/>
    <tableColumn name="상태" id="5"/>
  </tableColumns>
  <tableStyleInfo name="정책 결정-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8A08"/>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0.75"/>
    <col customWidth="1" min="2" max="2" width="9.13"/>
    <col customWidth="1" min="3" max="3" width="18.25"/>
    <col customWidth="1" min="4" max="4" width="23.88"/>
    <col customWidth="1" min="5" max="5" width="72.25"/>
    <col customWidth="1" hidden="1" min="6" max="6" width="21.38"/>
    <col customWidth="1" min="7" max="7" width="12.25"/>
    <col customWidth="1" min="8" max="8" width="19.5"/>
    <col customWidth="1" min="9" max="26" width="8.63"/>
  </cols>
  <sheetData>
    <row r="1" ht="9.0" customHeight="1">
      <c r="A1" s="1"/>
      <c r="B1" s="1"/>
      <c r="C1" s="1"/>
      <c r="D1" s="1"/>
      <c r="E1" s="2"/>
      <c r="F1" s="1"/>
      <c r="G1" s="1"/>
      <c r="H1" s="1"/>
    </row>
    <row r="2" ht="24.0" customHeight="1">
      <c r="A2" s="4"/>
      <c r="B2" s="6" t="s">
        <v>2</v>
      </c>
      <c r="C2" s="5"/>
      <c r="D2" s="5"/>
      <c r="E2" s="8"/>
      <c r="F2" s="5"/>
      <c r="G2" s="5"/>
      <c r="H2" s="5"/>
    </row>
    <row r="3" ht="18.75" customHeight="1">
      <c r="A3" s="9"/>
      <c r="B3" s="10" t="s">
        <v>10</v>
      </c>
      <c r="C3" s="1"/>
      <c r="D3" s="1"/>
      <c r="E3" s="2"/>
      <c r="F3" s="1"/>
      <c r="G3" s="1"/>
      <c r="H3" s="1"/>
    </row>
    <row r="4" ht="9.0" customHeight="1">
      <c r="A4" s="1"/>
      <c r="B4" s="1"/>
      <c r="C4" s="1"/>
      <c r="D4" s="1"/>
      <c r="E4" s="2"/>
      <c r="F4" s="1"/>
      <c r="G4" s="1"/>
      <c r="H4" s="1"/>
    </row>
    <row r="5" ht="22.5" customHeight="1">
      <c r="A5" s="7" t="s">
        <v>11</v>
      </c>
      <c r="B5" s="12">
        <f>COUNTA(A7:A85)</f>
        <v>79</v>
      </c>
      <c r="C5" s="7" t="str">
        <f>"기능 "&amp;COUNTA(A7:A59)&amp;" · 품질 "&amp;COUNTA(A60:A68)</f>
        <v>기능 53 · 품질 9</v>
      </c>
      <c r="D5" s="7" t="str">
        <f>"데이터 "&amp;COUNTA(A72:A78)&amp;" · 연동 "&amp;COUNTA(A79:A82)</f>
        <v>데이터 7 · 연동 4</v>
      </c>
      <c r="E5" s="15" t="s">
        <v>24</v>
      </c>
      <c r="F5" s="7"/>
      <c r="G5" s="7"/>
      <c r="H5" s="7"/>
    </row>
    <row r="6" ht="28.5" customHeight="1">
      <c r="A6" s="17" t="s">
        <v>9</v>
      </c>
      <c r="B6" s="19" t="s">
        <v>32</v>
      </c>
      <c r="C6" s="20" t="s">
        <v>35</v>
      </c>
      <c r="D6" s="19" t="s">
        <v>37</v>
      </c>
      <c r="E6" s="17" t="s">
        <v>39</v>
      </c>
      <c r="F6" s="22" t="s">
        <v>41</v>
      </c>
      <c r="G6" s="17" t="s">
        <v>43</v>
      </c>
      <c r="H6" s="19" t="s">
        <v>49</v>
      </c>
    </row>
    <row r="7" ht="58.5" customHeight="1">
      <c r="A7" s="24">
        <v>1.0</v>
      </c>
      <c r="B7" s="25" t="s">
        <v>54</v>
      </c>
      <c r="C7" s="26" t="s">
        <v>56</v>
      </c>
      <c r="D7" s="27" t="s">
        <v>60</v>
      </c>
      <c r="E7" s="27" t="s">
        <v>62</v>
      </c>
      <c r="F7" s="28" t="s">
        <v>64</v>
      </c>
      <c r="G7" s="29" t="s">
        <v>66</v>
      </c>
      <c r="H7" s="30" t="s">
        <v>74</v>
      </c>
    </row>
    <row r="8" ht="58.5" customHeight="1">
      <c r="A8" s="24">
        <v>2.0</v>
      </c>
      <c r="B8" s="25" t="s">
        <v>54</v>
      </c>
      <c r="C8" s="26" t="s">
        <v>56</v>
      </c>
      <c r="D8" s="31" t="s">
        <v>85</v>
      </c>
      <c r="E8" s="31" t="s">
        <v>93</v>
      </c>
      <c r="F8" s="18" t="s">
        <v>97</v>
      </c>
      <c r="G8" s="32" t="s">
        <v>66</v>
      </c>
      <c r="H8" s="33" t="s">
        <v>74</v>
      </c>
    </row>
    <row r="9" ht="58.5" customHeight="1">
      <c r="A9" s="24">
        <v>3.0</v>
      </c>
      <c r="B9" s="34" t="s">
        <v>54</v>
      </c>
      <c r="C9" s="26" t="s">
        <v>56</v>
      </c>
      <c r="D9" s="31" t="s">
        <v>36</v>
      </c>
      <c r="E9" s="31" t="s">
        <v>118</v>
      </c>
      <c r="F9" s="18" t="s">
        <v>121</v>
      </c>
      <c r="G9" s="32" t="s">
        <v>66</v>
      </c>
      <c r="H9" s="33" t="s">
        <v>74</v>
      </c>
    </row>
    <row r="10" ht="58.5" customHeight="1">
      <c r="A10" s="24">
        <v>4.0</v>
      </c>
      <c r="B10" s="34" t="s">
        <v>54</v>
      </c>
      <c r="C10" s="26" t="s">
        <v>56</v>
      </c>
      <c r="D10" s="31" t="s">
        <v>132</v>
      </c>
      <c r="E10" s="31" t="s">
        <v>135</v>
      </c>
      <c r="F10" s="18" t="s">
        <v>138</v>
      </c>
      <c r="G10" s="32" t="s">
        <v>66</v>
      </c>
      <c r="H10" s="33" t="s">
        <v>74</v>
      </c>
    </row>
    <row r="11" ht="58.5" customHeight="1">
      <c r="A11" s="24">
        <v>5.0</v>
      </c>
      <c r="B11" s="34" t="s">
        <v>54</v>
      </c>
      <c r="C11" s="26" t="s">
        <v>56</v>
      </c>
      <c r="D11" s="31" t="s">
        <v>149</v>
      </c>
      <c r="E11" s="31" t="s">
        <v>152</v>
      </c>
      <c r="F11" s="18"/>
      <c r="G11" s="32" t="s">
        <v>66</v>
      </c>
      <c r="H11" s="33" t="s">
        <v>74</v>
      </c>
    </row>
    <row r="12" ht="58.5" customHeight="1">
      <c r="A12" s="24">
        <v>6.0</v>
      </c>
      <c r="B12" s="34" t="s">
        <v>54</v>
      </c>
      <c r="C12" s="26" t="s">
        <v>56</v>
      </c>
      <c r="D12" s="31" t="s">
        <v>165</v>
      </c>
      <c r="E12" s="31" t="s">
        <v>168</v>
      </c>
      <c r="F12" s="18"/>
      <c r="G12" s="32" t="s">
        <v>66</v>
      </c>
      <c r="H12" s="33" t="s">
        <v>74</v>
      </c>
    </row>
    <row r="13" ht="58.5" customHeight="1">
      <c r="A13" s="24">
        <v>7.0</v>
      </c>
      <c r="B13" s="34" t="s">
        <v>54</v>
      </c>
      <c r="C13" s="26" t="s">
        <v>56</v>
      </c>
      <c r="D13" s="31" t="s">
        <v>183</v>
      </c>
      <c r="E13" s="31" t="s">
        <v>185</v>
      </c>
      <c r="F13" s="18"/>
      <c r="G13" s="32" t="s">
        <v>66</v>
      </c>
      <c r="H13" s="33" t="s">
        <v>74</v>
      </c>
    </row>
    <row r="14" ht="58.5" customHeight="1">
      <c r="A14" s="24">
        <v>8.0</v>
      </c>
      <c r="B14" s="34" t="s">
        <v>54</v>
      </c>
      <c r="C14" s="39" t="s">
        <v>198</v>
      </c>
      <c r="D14" s="31" t="s">
        <v>211</v>
      </c>
      <c r="E14" s="31" t="s">
        <v>216</v>
      </c>
      <c r="F14" s="18" t="s">
        <v>221</v>
      </c>
      <c r="G14" s="32" t="s">
        <v>66</v>
      </c>
      <c r="H14" s="33" t="s">
        <v>74</v>
      </c>
    </row>
    <row r="15" ht="58.5" customHeight="1">
      <c r="A15" s="24">
        <v>9.0</v>
      </c>
      <c r="B15" s="34" t="s">
        <v>54</v>
      </c>
      <c r="C15" s="39" t="s">
        <v>198</v>
      </c>
      <c r="D15" s="18" t="s">
        <v>59</v>
      </c>
      <c r="E15" s="31" t="s">
        <v>229</v>
      </c>
      <c r="F15" s="18" t="s">
        <v>231</v>
      </c>
      <c r="G15" s="32" t="s">
        <v>66</v>
      </c>
      <c r="H15" s="33" t="s">
        <v>74</v>
      </c>
    </row>
    <row r="16" ht="58.5" customHeight="1">
      <c r="A16" s="24">
        <v>10.0</v>
      </c>
      <c r="B16" s="34" t="s">
        <v>54</v>
      </c>
      <c r="C16" s="39" t="s">
        <v>198</v>
      </c>
      <c r="D16" s="31" t="s">
        <v>237</v>
      </c>
      <c r="E16" s="31" t="s">
        <v>239</v>
      </c>
      <c r="F16" s="18"/>
      <c r="G16" s="32" t="s">
        <v>66</v>
      </c>
      <c r="H16" s="33" t="s">
        <v>74</v>
      </c>
    </row>
    <row r="17" ht="58.5" customHeight="1">
      <c r="A17" s="24">
        <v>11.0</v>
      </c>
      <c r="B17" s="34" t="s">
        <v>54</v>
      </c>
      <c r="C17" s="39" t="s">
        <v>198</v>
      </c>
      <c r="D17" s="31" t="s">
        <v>247</v>
      </c>
      <c r="E17" s="31" t="s">
        <v>249</v>
      </c>
      <c r="F17" s="18"/>
      <c r="G17" s="32" t="s">
        <v>66</v>
      </c>
      <c r="H17" s="33" t="s">
        <v>74</v>
      </c>
    </row>
    <row r="18" ht="58.5" customHeight="1">
      <c r="A18" s="24">
        <v>12.0</v>
      </c>
      <c r="B18" s="34" t="s">
        <v>54</v>
      </c>
      <c r="C18" s="39" t="s">
        <v>198</v>
      </c>
      <c r="D18" s="18" t="s">
        <v>69</v>
      </c>
      <c r="E18" s="31" t="s">
        <v>259</v>
      </c>
      <c r="F18" s="18" t="s">
        <v>261</v>
      </c>
      <c r="G18" s="32" t="s">
        <v>66</v>
      </c>
      <c r="H18" s="33" t="s">
        <v>74</v>
      </c>
    </row>
    <row r="19" ht="51.0" customHeight="1">
      <c r="A19" s="24">
        <v>13.0</v>
      </c>
      <c r="B19" s="34" t="s">
        <v>54</v>
      </c>
      <c r="C19" s="39" t="s">
        <v>198</v>
      </c>
      <c r="D19" s="31" t="s">
        <v>264</v>
      </c>
      <c r="E19" s="31" t="s">
        <v>266</v>
      </c>
      <c r="F19" s="18"/>
      <c r="G19" s="32" t="s">
        <v>66</v>
      </c>
      <c r="H19" s="33" t="s">
        <v>74</v>
      </c>
    </row>
    <row r="20" ht="51.0" customHeight="1">
      <c r="A20" s="24">
        <v>14.0</v>
      </c>
      <c r="B20" s="34" t="s">
        <v>54</v>
      </c>
      <c r="C20" s="39" t="s">
        <v>198</v>
      </c>
      <c r="D20" s="31" t="s">
        <v>275</v>
      </c>
      <c r="E20" s="31" t="s">
        <v>277</v>
      </c>
      <c r="F20" s="18" t="s">
        <v>279</v>
      </c>
      <c r="G20" s="32" t="s">
        <v>66</v>
      </c>
      <c r="H20" s="33" t="s">
        <v>74</v>
      </c>
    </row>
    <row r="21" ht="58.5" customHeight="1">
      <c r="A21" s="24">
        <v>15.0</v>
      </c>
      <c r="B21" s="34" t="s">
        <v>54</v>
      </c>
      <c r="C21" s="39" t="s">
        <v>198</v>
      </c>
      <c r="D21" s="18" t="s">
        <v>83</v>
      </c>
      <c r="E21" s="31" t="s">
        <v>285</v>
      </c>
      <c r="F21" s="18" t="s">
        <v>287</v>
      </c>
      <c r="G21" s="32" t="s">
        <v>66</v>
      </c>
      <c r="H21" s="33" t="s">
        <v>74</v>
      </c>
    </row>
    <row r="22" ht="58.5" customHeight="1">
      <c r="A22" s="24">
        <v>16.0</v>
      </c>
      <c r="B22" s="34" t="s">
        <v>54</v>
      </c>
      <c r="C22" s="39" t="s">
        <v>198</v>
      </c>
      <c r="D22" s="40" t="s">
        <v>298</v>
      </c>
      <c r="E22" s="40" t="s">
        <v>301</v>
      </c>
      <c r="F22" s="41"/>
      <c r="G22" s="42" t="s">
        <v>66</v>
      </c>
      <c r="H22" s="43" t="s">
        <v>74</v>
      </c>
      <c r="K22" s="44" t="s">
        <v>307</v>
      </c>
    </row>
    <row r="23" ht="58.5" customHeight="1">
      <c r="A23" s="24">
        <v>17.0</v>
      </c>
      <c r="B23" s="45" t="s">
        <v>54</v>
      </c>
      <c r="C23" s="46" t="s">
        <v>312</v>
      </c>
      <c r="D23" s="47" t="s">
        <v>314</v>
      </c>
      <c r="E23" s="47" t="s">
        <v>317</v>
      </c>
      <c r="F23" s="48" t="s">
        <v>320</v>
      </c>
      <c r="G23" s="50" t="s">
        <v>66</v>
      </c>
      <c r="H23" s="51" t="s">
        <v>74</v>
      </c>
    </row>
    <row r="24" ht="57.75" customHeight="1">
      <c r="A24" s="24">
        <v>18.0</v>
      </c>
      <c r="B24" s="52" t="s">
        <v>54</v>
      </c>
      <c r="C24" s="54" t="s">
        <v>312</v>
      </c>
      <c r="D24" s="40" t="s">
        <v>328</v>
      </c>
      <c r="E24" s="40" t="s">
        <v>331</v>
      </c>
      <c r="F24" s="41" t="s">
        <v>320</v>
      </c>
      <c r="G24" s="42" t="s">
        <v>66</v>
      </c>
      <c r="H24" s="43" t="s">
        <v>74</v>
      </c>
    </row>
    <row r="25" ht="58.5" customHeight="1">
      <c r="A25" s="24">
        <v>19.0</v>
      </c>
      <c r="B25" s="52" t="s">
        <v>54</v>
      </c>
      <c r="C25" s="54" t="s">
        <v>312</v>
      </c>
      <c r="D25" s="40" t="s">
        <v>348</v>
      </c>
      <c r="E25" s="40" t="s">
        <v>351</v>
      </c>
      <c r="F25" s="41" t="s">
        <v>320</v>
      </c>
      <c r="G25" s="42" t="s">
        <v>66</v>
      </c>
      <c r="H25" s="43" t="s">
        <v>74</v>
      </c>
    </row>
    <row r="26" ht="58.5" customHeight="1">
      <c r="A26" s="24">
        <v>20.0</v>
      </c>
      <c r="B26" s="56" t="s">
        <v>54</v>
      </c>
      <c r="C26" s="54" t="s">
        <v>312</v>
      </c>
      <c r="D26" s="14" t="s">
        <v>98</v>
      </c>
      <c r="E26" s="57" t="s">
        <v>374</v>
      </c>
      <c r="F26" s="14" t="s">
        <v>379</v>
      </c>
      <c r="G26" s="58" t="s">
        <v>66</v>
      </c>
      <c r="H26" s="59" t="s">
        <v>74</v>
      </c>
    </row>
    <row r="27" ht="58.5" customHeight="1">
      <c r="A27" s="24">
        <v>21.0</v>
      </c>
      <c r="B27" s="34" t="s">
        <v>54</v>
      </c>
      <c r="C27" s="54" t="s">
        <v>312</v>
      </c>
      <c r="D27" s="18" t="s">
        <v>105</v>
      </c>
      <c r="E27" s="31" t="s">
        <v>392</v>
      </c>
      <c r="F27" s="18" t="s">
        <v>393</v>
      </c>
      <c r="G27" s="32" t="s">
        <v>66</v>
      </c>
      <c r="H27" s="33" t="s">
        <v>74</v>
      </c>
    </row>
    <row r="28" ht="70.5" customHeight="1">
      <c r="A28" s="24">
        <v>22.0</v>
      </c>
      <c r="B28" s="34" t="s">
        <v>54</v>
      </c>
      <c r="C28" s="54" t="s">
        <v>312</v>
      </c>
      <c r="D28" s="31" t="s">
        <v>394</v>
      </c>
      <c r="E28" s="31" t="s">
        <v>395</v>
      </c>
      <c r="F28" s="18" t="s">
        <v>396</v>
      </c>
      <c r="G28" s="32" t="s">
        <v>66</v>
      </c>
      <c r="H28" s="33" t="s">
        <v>74</v>
      </c>
    </row>
    <row r="29" ht="70.5" customHeight="1">
      <c r="A29" s="24">
        <v>23.0</v>
      </c>
      <c r="B29" s="34" t="s">
        <v>54</v>
      </c>
      <c r="C29" s="54" t="s">
        <v>312</v>
      </c>
      <c r="D29" s="31" t="s">
        <v>397</v>
      </c>
      <c r="E29" s="31" t="s">
        <v>398</v>
      </c>
      <c r="F29" s="18" t="s">
        <v>399</v>
      </c>
      <c r="G29" s="32" t="s">
        <v>66</v>
      </c>
      <c r="H29" s="33" t="s">
        <v>74</v>
      </c>
    </row>
    <row r="30" ht="70.5" customHeight="1">
      <c r="A30" s="24">
        <v>24.0</v>
      </c>
      <c r="B30" s="34" t="s">
        <v>54</v>
      </c>
      <c r="C30" s="54" t="s">
        <v>312</v>
      </c>
      <c r="D30" s="31" t="s">
        <v>400</v>
      </c>
      <c r="E30" s="31" t="s">
        <v>401</v>
      </c>
      <c r="F30" s="18"/>
      <c r="G30" s="32" t="s">
        <v>66</v>
      </c>
      <c r="H30" s="33" t="s">
        <v>74</v>
      </c>
    </row>
    <row r="31" ht="70.5" customHeight="1">
      <c r="A31" s="24">
        <v>25.0</v>
      </c>
      <c r="B31" s="34" t="s">
        <v>54</v>
      </c>
      <c r="C31" s="54" t="s">
        <v>312</v>
      </c>
      <c r="D31" s="31" t="s">
        <v>402</v>
      </c>
      <c r="E31" s="31" t="s">
        <v>403</v>
      </c>
      <c r="F31" s="18" t="s">
        <v>404</v>
      </c>
      <c r="G31" s="32" t="s">
        <v>66</v>
      </c>
      <c r="H31" s="33" t="s">
        <v>74</v>
      </c>
    </row>
    <row r="32" ht="70.5" customHeight="1">
      <c r="A32" s="24">
        <v>26.0</v>
      </c>
      <c r="B32" s="60" t="s">
        <v>54</v>
      </c>
      <c r="C32" s="54" t="s">
        <v>312</v>
      </c>
      <c r="D32" s="57" t="s">
        <v>405</v>
      </c>
      <c r="E32" s="57" t="s">
        <v>406</v>
      </c>
      <c r="F32" s="14"/>
      <c r="G32" s="58" t="s">
        <v>66</v>
      </c>
      <c r="H32" s="59" t="s">
        <v>74</v>
      </c>
    </row>
    <row r="33" ht="70.5" customHeight="1">
      <c r="A33" s="24">
        <v>27.0</v>
      </c>
      <c r="B33" s="52" t="s">
        <v>54</v>
      </c>
      <c r="C33" s="54" t="s">
        <v>312</v>
      </c>
      <c r="D33" s="57" t="s">
        <v>407</v>
      </c>
      <c r="E33" s="57" t="s">
        <v>408</v>
      </c>
      <c r="F33" s="14"/>
      <c r="G33" s="58" t="s">
        <v>66</v>
      </c>
      <c r="H33" s="59" t="s">
        <v>74</v>
      </c>
    </row>
    <row r="34" ht="70.5" customHeight="1">
      <c r="A34" s="24">
        <v>28.0</v>
      </c>
      <c r="B34" s="61" t="s">
        <v>409</v>
      </c>
      <c r="C34" s="61" t="s">
        <v>410</v>
      </c>
      <c r="D34" s="47" t="s">
        <v>411</v>
      </c>
      <c r="E34" s="27" t="s">
        <v>412</v>
      </c>
      <c r="F34" s="28" t="s">
        <v>413</v>
      </c>
      <c r="G34" s="29" t="s">
        <v>66</v>
      </c>
      <c r="H34" s="30" t="s">
        <v>74</v>
      </c>
    </row>
    <row r="35" ht="70.5" customHeight="1">
      <c r="A35" s="24">
        <v>29.0</v>
      </c>
      <c r="B35" s="52" t="s">
        <v>409</v>
      </c>
      <c r="C35" s="52" t="s">
        <v>410</v>
      </c>
      <c r="D35" s="40" t="s">
        <v>414</v>
      </c>
      <c r="E35" s="62" t="s">
        <v>415</v>
      </c>
      <c r="F35" s="14"/>
      <c r="G35" s="58" t="s">
        <v>66</v>
      </c>
      <c r="H35" s="59" t="s">
        <v>74</v>
      </c>
    </row>
    <row r="36" ht="70.5" customHeight="1">
      <c r="A36" s="24">
        <v>30.0</v>
      </c>
      <c r="B36" s="56" t="s">
        <v>409</v>
      </c>
      <c r="C36" s="56" t="s">
        <v>410</v>
      </c>
      <c r="D36" s="57" t="s">
        <v>416</v>
      </c>
      <c r="E36" s="31" t="s">
        <v>417</v>
      </c>
      <c r="F36" s="18" t="s">
        <v>418</v>
      </c>
      <c r="G36" s="32" t="s">
        <v>66</v>
      </c>
      <c r="H36" s="33" t="s">
        <v>419</v>
      </c>
    </row>
    <row r="37" ht="70.5" customHeight="1">
      <c r="A37" s="24">
        <v>31.0</v>
      </c>
      <c r="B37" s="39" t="s">
        <v>409</v>
      </c>
      <c r="C37" s="34" t="s">
        <v>410</v>
      </c>
      <c r="D37" s="31" t="s">
        <v>420</v>
      </c>
      <c r="E37" s="63" t="s">
        <v>421</v>
      </c>
      <c r="F37" s="18"/>
      <c r="G37" s="32" t="s">
        <v>66</v>
      </c>
      <c r="H37" s="33" t="s">
        <v>419</v>
      </c>
    </row>
    <row r="38" ht="70.5" customHeight="1">
      <c r="A38" s="24">
        <v>32.0</v>
      </c>
      <c r="B38" s="39" t="s">
        <v>54</v>
      </c>
      <c r="C38" s="34" t="s">
        <v>410</v>
      </c>
      <c r="D38" s="31" t="s">
        <v>422</v>
      </c>
      <c r="E38" s="31" t="s">
        <v>423</v>
      </c>
      <c r="F38" s="18" t="s">
        <v>424</v>
      </c>
      <c r="G38" s="32" t="s">
        <v>66</v>
      </c>
      <c r="H38" s="33" t="s">
        <v>74</v>
      </c>
    </row>
    <row r="39" ht="70.5" customHeight="1">
      <c r="A39" s="24">
        <v>33.0</v>
      </c>
      <c r="B39" s="34" t="s">
        <v>54</v>
      </c>
      <c r="C39" s="34" t="s">
        <v>410</v>
      </c>
      <c r="D39" s="31" t="s">
        <v>425</v>
      </c>
      <c r="E39" s="31" t="s">
        <v>426</v>
      </c>
      <c r="F39" s="18" t="s">
        <v>427</v>
      </c>
      <c r="G39" s="32" t="s">
        <v>66</v>
      </c>
      <c r="H39" s="33" t="s">
        <v>74</v>
      </c>
    </row>
    <row r="40" ht="70.5" customHeight="1">
      <c r="A40" s="24">
        <v>34.0</v>
      </c>
      <c r="B40" s="39" t="s">
        <v>409</v>
      </c>
      <c r="C40" s="34" t="s">
        <v>410</v>
      </c>
      <c r="D40" s="57" t="s">
        <v>428</v>
      </c>
      <c r="E40" s="57" t="s">
        <v>429</v>
      </c>
      <c r="F40" s="14"/>
      <c r="G40" s="58" t="s">
        <v>66</v>
      </c>
      <c r="H40" s="59" t="s">
        <v>74</v>
      </c>
    </row>
    <row r="41" ht="70.5" customHeight="1">
      <c r="A41" s="24">
        <v>35.0</v>
      </c>
      <c r="B41" s="39" t="s">
        <v>409</v>
      </c>
      <c r="C41" s="34" t="s">
        <v>410</v>
      </c>
      <c r="D41" s="57" t="s">
        <v>430</v>
      </c>
      <c r="E41" s="57" t="s">
        <v>431</v>
      </c>
      <c r="F41" s="14"/>
      <c r="G41" s="58" t="s">
        <v>66</v>
      </c>
      <c r="H41" s="59" t="s">
        <v>74</v>
      </c>
    </row>
    <row r="42" ht="70.5" customHeight="1">
      <c r="A42" s="24">
        <v>36.0</v>
      </c>
      <c r="B42" s="39" t="s">
        <v>409</v>
      </c>
      <c r="C42" s="34" t="s">
        <v>410</v>
      </c>
      <c r="D42" s="57" t="s">
        <v>432</v>
      </c>
      <c r="E42" s="57" t="s">
        <v>433</v>
      </c>
      <c r="F42" s="14"/>
      <c r="G42" s="58" t="s">
        <v>434</v>
      </c>
      <c r="H42" s="59" t="s">
        <v>74</v>
      </c>
    </row>
    <row r="43" ht="70.5" customHeight="1">
      <c r="A43" s="24">
        <v>37.0</v>
      </c>
      <c r="B43" s="64" t="s">
        <v>54</v>
      </c>
      <c r="C43" s="64" t="s">
        <v>410</v>
      </c>
      <c r="D43" s="57" t="s">
        <v>435</v>
      </c>
      <c r="E43" s="57" t="s">
        <v>436</v>
      </c>
      <c r="F43" s="14"/>
      <c r="G43" s="58" t="s">
        <v>437</v>
      </c>
      <c r="H43" s="59" t="s">
        <v>419</v>
      </c>
    </row>
    <row r="44" ht="70.5" customHeight="1">
      <c r="A44" s="24">
        <v>38.0</v>
      </c>
      <c r="B44" s="25" t="s">
        <v>54</v>
      </c>
      <c r="C44" s="25" t="s">
        <v>438</v>
      </c>
      <c r="D44" s="28" t="s">
        <v>156</v>
      </c>
      <c r="E44" s="28" t="s">
        <v>439</v>
      </c>
      <c r="F44" s="28" t="s">
        <v>440</v>
      </c>
      <c r="G44" s="29" t="s">
        <v>66</v>
      </c>
      <c r="H44" s="30" t="s">
        <v>74</v>
      </c>
    </row>
    <row r="45" ht="70.5" customHeight="1">
      <c r="A45" s="24">
        <v>39.0</v>
      </c>
      <c r="B45" s="34" t="s">
        <v>54</v>
      </c>
      <c r="C45" s="34" t="s">
        <v>438</v>
      </c>
      <c r="D45" s="18" t="s">
        <v>162</v>
      </c>
      <c r="E45" s="31" t="s">
        <v>441</v>
      </c>
      <c r="F45" s="18" t="s">
        <v>442</v>
      </c>
      <c r="G45" s="32" t="s">
        <v>66</v>
      </c>
      <c r="H45" s="33" t="s">
        <v>74</v>
      </c>
    </row>
    <row r="46" ht="70.5" customHeight="1">
      <c r="A46" s="24">
        <v>40.0</v>
      </c>
      <c r="B46" s="34" t="s">
        <v>54</v>
      </c>
      <c r="C46" s="34" t="s">
        <v>438</v>
      </c>
      <c r="D46" s="18" t="s">
        <v>169</v>
      </c>
      <c r="E46" s="31" t="s">
        <v>443</v>
      </c>
      <c r="F46" s="18" t="s">
        <v>444</v>
      </c>
      <c r="G46" s="32" t="s">
        <v>66</v>
      </c>
      <c r="H46" s="33" t="s">
        <v>74</v>
      </c>
    </row>
    <row r="47" ht="70.5" customHeight="1">
      <c r="A47" s="24">
        <v>41.0</v>
      </c>
      <c r="B47" s="34" t="s">
        <v>54</v>
      </c>
      <c r="C47" s="34" t="s">
        <v>438</v>
      </c>
      <c r="D47" s="18" t="s">
        <v>175</v>
      </c>
      <c r="E47" s="31" t="s">
        <v>445</v>
      </c>
      <c r="F47" s="18" t="s">
        <v>446</v>
      </c>
      <c r="G47" s="32" t="s">
        <v>66</v>
      </c>
      <c r="H47" s="33" t="s">
        <v>74</v>
      </c>
    </row>
    <row r="48" ht="70.5" customHeight="1">
      <c r="A48" s="24">
        <v>42.0</v>
      </c>
      <c r="B48" s="34" t="s">
        <v>54</v>
      </c>
      <c r="C48" s="34" t="s">
        <v>438</v>
      </c>
      <c r="D48" s="18" t="s">
        <v>180</v>
      </c>
      <c r="E48" s="65" t="s">
        <v>447</v>
      </c>
      <c r="F48" s="18" t="s">
        <v>448</v>
      </c>
      <c r="G48" s="32" t="s">
        <v>66</v>
      </c>
      <c r="H48" s="33" t="s">
        <v>74</v>
      </c>
    </row>
    <row r="49" ht="70.5" customHeight="1">
      <c r="A49" s="24">
        <v>43.0</v>
      </c>
      <c r="B49" s="34" t="s">
        <v>54</v>
      </c>
      <c r="C49" s="34" t="s">
        <v>438</v>
      </c>
      <c r="D49" s="18" t="s">
        <v>187</v>
      </c>
      <c r="E49" s="31" t="s">
        <v>449</v>
      </c>
      <c r="F49" s="18" t="s">
        <v>450</v>
      </c>
      <c r="G49" s="32" t="s">
        <v>66</v>
      </c>
      <c r="H49" s="33" t="s">
        <v>74</v>
      </c>
    </row>
    <row r="50" ht="70.5" customHeight="1">
      <c r="A50" s="24">
        <v>44.0</v>
      </c>
      <c r="B50" s="34" t="s">
        <v>54</v>
      </c>
      <c r="C50" s="34" t="s">
        <v>438</v>
      </c>
      <c r="D50" s="18" t="s">
        <v>193</v>
      </c>
      <c r="E50" s="31" t="s">
        <v>451</v>
      </c>
      <c r="F50" s="18" t="s">
        <v>452</v>
      </c>
      <c r="G50" s="32" t="s">
        <v>66</v>
      </c>
      <c r="H50" s="33" t="s">
        <v>74</v>
      </c>
    </row>
    <row r="51" ht="70.5" customHeight="1">
      <c r="A51" s="24">
        <v>45.0</v>
      </c>
      <c r="B51" s="25" t="s">
        <v>54</v>
      </c>
      <c r="C51" s="25" t="s">
        <v>453</v>
      </c>
      <c r="D51" s="28" t="s">
        <v>205</v>
      </c>
      <c r="E51" s="27" t="s">
        <v>454</v>
      </c>
      <c r="F51" s="28" t="s">
        <v>455</v>
      </c>
      <c r="G51" s="29" t="s">
        <v>66</v>
      </c>
      <c r="H51" s="30" t="s">
        <v>74</v>
      </c>
    </row>
    <row r="52" ht="70.5" customHeight="1">
      <c r="A52" s="24">
        <v>46.0</v>
      </c>
      <c r="B52" s="34" t="s">
        <v>409</v>
      </c>
      <c r="C52" s="34" t="s">
        <v>453</v>
      </c>
      <c r="D52" s="18" t="s">
        <v>222</v>
      </c>
      <c r="E52" s="31" t="s">
        <v>456</v>
      </c>
      <c r="F52" s="18" t="s">
        <v>457</v>
      </c>
      <c r="G52" s="32" t="s">
        <v>66</v>
      </c>
      <c r="H52" s="33" t="s">
        <v>74</v>
      </c>
    </row>
    <row r="53" ht="70.5" customHeight="1">
      <c r="A53" s="24">
        <v>47.0</v>
      </c>
      <c r="B53" s="34" t="s">
        <v>409</v>
      </c>
      <c r="C53" s="34" t="s">
        <v>453</v>
      </c>
      <c r="D53" s="18" t="s">
        <v>226</v>
      </c>
      <c r="E53" s="31" t="s">
        <v>458</v>
      </c>
      <c r="F53" s="18" t="s">
        <v>459</v>
      </c>
      <c r="G53" s="32" t="s">
        <v>66</v>
      </c>
      <c r="H53" s="33" t="s">
        <v>74</v>
      </c>
    </row>
    <row r="54" ht="70.5" customHeight="1">
      <c r="A54" s="24">
        <v>48.0</v>
      </c>
      <c r="B54" s="34" t="s">
        <v>409</v>
      </c>
      <c r="C54" s="34" t="s">
        <v>453</v>
      </c>
      <c r="D54" s="18" t="s">
        <v>230</v>
      </c>
      <c r="E54" s="31" t="s">
        <v>460</v>
      </c>
      <c r="F54" s="18" t="s">
        <v>461</v>
      </c>
      <c r="G54" s="32" t="s">
        <v>66</v>
      </c>
      <c r="H54" s="66" t="s">
        <v>462</v>
      </c>
    </row>
    <row r="55" ht="70.5" customHeight="1">
      <c r="A55" s="24">
        <v>49.0</v>
      </c>
      <c r="B55" s="34" t="s">
        <v>409</v>
      </c>
      <c r="C55" s="34" t="s">
        <v>453</v>
      </c>
      <c r="D55" s="18" t="s">
        <v>235</v>
      </c>
      <c r="E55" s="31" t="s">
        <v>463</v>
      </c>
      <c r="F55" s="18" t="s">
        <v>464</v>
      </c>
      <c r="G55" s="32" t="s">
        <v>66</v>
      </c>
      <c r="H55" s="66" t="s">
        <v>462</v>
      </c>
    </row>
    <row r="56" ht="70.5" customHeight="1">
      <c r="A56" s="24">
        <v>50.0</v>
      </c>
      <c r="B56" s="34" t="s">
        <v>54</v>
      </c>
      <c r="C56" s="34" t="s">
        <v>453</v>
      </c>
      <c r="D56" s="18" t="s">
        <v>240</v>
      </c>
      <c r="E56" s="31" t="s">
        <v>465</v>
      </c>
      <c r="F56" s="18" t="s">
        <v>466</v>
      </c>
      <c r="G56" s="32" t="s">
        <v>66</v>
      </c>
      <c r="H56" s="66" t="s">
        <v>462</v>
      </c>
    </row>
    <row r="57" ht="70.5" customHeight="1">
      <c r="A57" s="24">
        <v>51.0</v>
      </c>
      <c r="B57" s="34" t="s">
        <v>54</v>
      </c>
      <c r="C57" s="34" t="s">
        <v>453</v>
      </c>
      <c r="D57" s="31" t="s">
        <v>467</v>
      </c>
      <c r="E57" s="67" t="s">
        <v>468</v>
      </c>
      <c r="F57" s="18" t="s">
        <v>466</v>
      </c>
      <c r="G57" s="32" t="s">
        <v>66</v>
      </c>
      <c r="H57" s="33" t="s">
        <v>74</v>
      </c>
    </row>
    <row r="58" ht="70.5" customHeight="1">
      <c r="A58" s="24">
        <v>52.0</v>
      </c>
      <c r="B58" s="34" t="s">
        <v>54</v>
      </c>
      <c r="C58" s="34" t="s">
        <v>453</v>
      </c>
      <c r="D58" s="18" t="s">
        <v>244</v>
      </c>
      <c r="E58" s="31" t="s">
        <v>469</v>
      </c>
      <c r="F58" s="18" t="s">
        <v>470</v>
      </c>
      <c r="G58" s="32" t="s">
        <v>66</v>
      </c>
      <c r="H58" s="66" t="s">
        <v>462</v>
      </c>
    </row>
    <row r="59" ht="70.5" customHeight="1">
      <c r="A59" s="24">
        <v>53.0</v>
      </c>
      <c r="B59" s="34" t="s">
        <v>54</v>
      </c>
      <c r="C59" s="34" t="s">
        <v>453</v>
      </c>
      <c r="D59" s="18" t="s">
        <v>250</v>
      </c>
      <c r="E59" s="31" t="s">
        <v>471</v>
      </c>
      <c r="F59" s="18" t="s">
        <v>472</v>
      </c>
      <c r="G59" s="32" t="s">
        <v>66</v>
      </c>
      <c r="H59" s="66" t="s">
        <v>462</v>
      </c>
    </row>
    <row r="60" ht="70.5" customHeight="1">
      <c r="A60" s="24">
        <v>54.0</v>
      </c>
      <c r="B60" s="25" t="s">
        <v>473</v>
      </c>
      <c r="C60" s="25" t="s">
        <v>474</v>
      </c>
      <c r="D60" s="28" t="s">
        <v>253</v>
      </c>
      <c r="E60" s="27" t="s">
        <v>475</v>
      </c>
      <c r="F60" s="28" t="s">
        <v>476</v>
      </c>
      <c r="G60" s="29" t="s">
        <v>66</v>
      </c>
      <c r="H60" s="30" t="s">
        <v>74</v>
      </c>
    </row>
    <row r="61" ht="70.5" customHeight="1">
      <c r="A61" s="24">
        <v>55.0</v>
      </c>
      <c r="B61" s="34" t="s">
        <v>473</v>
      </c>
      <c r="C61" s="34" t="s">
        <v>474</v>
      </c>
      <c r="D61" s="18" t="s">
        <v>257</v>
      </c>
      <c r="E61" s="31" t="s">
        <v>477</v>
      </c>
      <c r="F61" s="18" t="s">
        <v>478</v>
      </c>
      <c r="G61" s="32" t="s">
        <v>66</v>
      </c>
      <c r="H61" s="33" t="s">
        <v>74</v>
      </c>
    </row>
    <row r="62" ht="70.5" customHeight="1">
      <c r="A62" s="24">
        <v>56.0</v>
      </c>
      <c r="B62" s="34" t="s">
        <v>473</v>
      </c>
      <c r="C62" s="34" t="s">
        <v>474</v>
      </c>
      <c r="D62" s="18" t="s">
        <v>262</v>
      </c>
      <c r="E62" s="31" t="s">
        <v>479</v>
      </c>
      <c r="F62" s="18" t="s">
        <v>480</v>
      </c>
      <c r="G62" s="32" t="s">
        <v>66</v>
      </c>
      <c r="H62" s="33" t="s">
        <v>74</v>
      </c>
    </row>
    <row r="63" ht="70.5" customHeight="1">
      <c r="A63" s="24">
        <v>57.0</v>
      </c>
      <c r="B63" s="34" t="s">
        <v>473</v>
      </c>
      <c r="C63" s="34" t="s">
        <v>474</v>
      </c>
      <c r="D63" s="18" t="s">
        <v>267</v>
      </c>
      <c r="E63" s="31" t="s">
        <v>481</v>
      </c>
      <c r="F63" s="18" t="s">
        <v>482</v>
      </c>
      <c r="G63" s="32" t="s">
        <v>66</v>
      </c>
      <c r="H63" s="66" t="s">
        <v>462</v>
      </c>
    </row>
    <row r="64" ht="70.5" customHeight="1">
      <c r="A64" s="24">
        <v>58.0</v>
      </c>
      <c r="B64" s="34" t="s">
        <v>473</v>
      </c>
      <c r="C64" s="34" t="s">
        <v>474</v>
      </c>
      <c r="D64" s="18" t="s">
        <v>270</v>
      </c>
      <c r="E64" s="31" t="s">
        <v>483</v>
      </c>
      <c r="F64" s="18" t="s">
        <v>484</v>
      </c>
      <c r="G64" s="32" t="s">
        <v>66</v>
      </c>
      <c r="H64" s="66" t="s">
        <v>462</v>
      </c>
    </row>
    <row r="65" ht="70.5" customHeight="1">
      <c r="A65" s="24">
        <v>59.0</v>
      </c>
      <c r="B65" s="34" t="s">
        <v>473</v>
      </c>
      <c r="C65" s="34" t="s">
        <v>474</v>
      </c>
      <c r="D65" s="18" t="s">
        <v>273</v>
      </c>
      <c r="E65" s="31" t="s">
        <v>485</v>
      </c>
      <c r="F65" s="18" t="s">
        <v>486</v>
      </c>
      <c r="G65" s="32" t="s">
        <v>66</v>
      </c>
      <c r="H65" s="66" t="s">
        <v>462</v>
      </c>
    </row>
    <row r="66" ht="70.5" customHeight="1">
      <c r="A66" s="24">
        <v>60.0</v>
      </c>
      <c r="B66" s="34" t="s">
        <v>473</v>
      </c>
      <c r="C66" s="34" t="s">
        <v>474</v>
      </c>
      <c r="D66" s="18" t="s">
        <v>206</v>
      </c>
      <c r="E66" s="31" t="s">
        <v>487</v>
      </c>
      <c r="F66" s="18" t="s">
        <v>488</v>
      </c>
      <c r="G66" s="32" t="s">
        <v>434</v>
      </c>
      <c r="H66" s="33" t="s">
        <v>489</v>
      </c>
    </row>
    <row r="67" ht="70.5" customHeight="1">
      <c r="A67" s="24">
        <v>61.0</v>
      </c>
      <c r="B67" s="34" t="s">
        <v>473</v>
      </c>
      <c r="C67" s="34" t="s">
        <v>474</v>
      </c>
      <c r="D67" s="31" t="s">
        <v>490</v>
      </c>
      <c r="E67" s="68" t="s">
        <v>491</v>
      </c>
      <c r="F67" s="18" t="s">
        <v>492</v>
      </c>
      <c r="G67" s="32" t="s">
        <v>66</v>
      </c>
      <c r="H67" s="66" t="s">
        <v>493</v>
      </c>
    </row>
    <row r="68" ht="70.5" customHeight="1">
      <c r="A68" s="24">
        <v>62.0</v>
      </c>
      <c r="B68" s="34" t="s">
        <v>473</v>
      </c>
      <c r="C68" s="34" t="s">
        <v>474</v>
      </c>
      <c r="D68" s="31" t="s">
        <v>494</v>
      </c>
      <c r="E68" s="31" t="s">
        <v>495</v>
      </c>
      <c r="F68" s="18" t="s">
        <v>496</v>
      </c>
      <c r="G68" s="32" t="s">
        <v>66</v>
      </c>
      <c r="H68" s="66" t="s">
        <v>489</v>
      </c>
    </row>
    <row r="69" ht="70.5" customHeight="1">
      <c r="A69" s="24">
        <v>63.0</v>
      </c>
      <c r="B69" s="64" t="s">
        <v>473</v>
      </c>
      <c r="C69" s="64" t="s">
        <v>474</v>
      </c>
      <c r="D69" s="57" t="s">
        <v>497</v>
      </c>
      <c r="E69" s="68" t="s">
        <v>498</v>
      </c>
      <c r="F69" s="14"/>
      <c r="G69" s="58" t="s">
        <v>66</v>
      </c>
      <c r="H69" s="59" t="s">
        <v>489</v>
      </c>
    </row>
    <row r="70" ht="70.5" customHeight="1">
      <c r="A70" s="24">
        <v>64.0</v>
      </c>
      <c r="B70" s="64" t="s">
        <v>473</v>
      </c>
      <c r="C70" s="64" t="s">
        <v>474</v>
      </c>
      <c r="D70" s="57" t="s">
        <v>499</v>
      </c>
      <c r="E70" s="68" t="s">
        <v>500</v>
      </c>
      <c r="F70" s="14"/>
      <c r="G70" s="58" t="s">
        <v>434</v>
      </c>
      <c r="H70" s="59" t="s">
        <v>489</v>
      </c>
    </row>
    <row r="71" ht="70.5" customHeight="1">
      <c r="A71" s="24">
        <v>65.0</v>
      </c>
      <c r="B71" s="64" t="s">
        <v>473</v>
      </c>
      <c r="C71" s="64" t="s">
        <v>474</v>
      </c>
      <c r="D71" s="68" t="s">
        <v>501</v>
      </c>
      <c r="E71" s="40" t="s">
        <v>502</v>
      </c>
      <c r="F71" s="14"/>
      <c r="G71" s="58" t="s">
        <v>66</v>
      </c>
      <c r="H71" s="59" t="s">
        <v>489</v>
      </c>
    </row>
    <row r="72" ht="70.5" customHeight="1">
      <c r="A72" s="24">
        <v>66.0</v>
      </c>
      <c r="B72" s="25" t="s">
        <v>473</v>
      </c>
      <c r="C72" s="25" t="s">
        <v>503</v>
      </c>
      <c r="D72" s="28" t="s">
        <v>286</v>
      </c>
      <c r="E72" s="27" t="s">
        <v>504</v>
      </c>
      <c r="F72" s="28" t="s">
        <v>505</v>
      </c>
      <c r="G72" s="29" t="s">
        <v>66</v>
      </c>
      <c r="H72" s="69" t="s">
        <v>462</v>
      </c>
    </row>
    <row r="73" ht="70.5" customHeight="1">
      <c r="A73" s="24">
        <v>67.0</v>
      </c>
      <c r="B73" s="34" t="s">
        <v>473</v>
      </c>
      <c r="C73" s="34" t="s">
        <v>503</v>
      </c>
      <c r="D73" s="18" t="s">
        <v>291</v>
      </c>
      <c r="E73" s="31" t="s">
        <v>506</v>
      </c>
      <c r="F73" s="18" t="s">
        <v>507</v>
      </c>
      <c r="G73" s="32" t="s">
        <v>66</v>
      </c>
      <c r="H73" s="66" t="s">
        <v>462</v>
      </c>
    </row>
    <row r="74" ht="70.5" customHeight="1">
      <c r="A74" s="24">
        <v>68.0</v>
      </c>
      <c r="B74" s="34" t="s">
        <v>473</v>
      </c>
      <c r="C74" s="34" t="s">
        <v>503</v>
      </c>
      <c r="D74" s="18" t="s">
        <v>294</v>
      </c>
      <c r="E74" s="31" t="s">
        <v>508</v>
      </c>
      <c r="F74" s="18" t="s">
        <v>509</v>
      </c>
      <c r="G74" s="32" t="s">
        <v>66</v>
      </c>
      <c r="H74" s="66" t="s">
        <v>462</v>
      </c>
    </row>
    <row r="75" ht="70.5" customHeight="1">
      <c r="A75" s="24">
        <v>69.0</v>
      </c>
      <c r="B75" s="34" t="s">
        <v>473</v>
      </c>
      <c r="C75" s="34" t="s">
        <v>503</v>
      </c>
      <c r="D75" s="31" t="s">
        <v>510</v>
      </c>
      <c r="E75" s="31" t="s">
        <v>511</v>
      </c>
      <c r="F75" s="18" t="s">
        <v>512</v>
      </c>
      <c r="G75" s="32" t="s">
        <v>66</v>
      </c>
      <c r="H75" s="66" t="s">
        <v>462</v>
      </c>
    </row>
    <row r="76" ht="70.5" customHeight="1">
      <c r="A76" s="24">
        <v>70.0</v>
      </c>
      <c r="B76" s="64" t="s">
        <v>473</v>
      </c>
      <c r="C76" s="64" t="s">
        <v>513</v>
      </c>
      <c r="D76" s="57" t="s">
        <v>514</v>
      </c>
      <c r="E76" s="40" t="s">
        <v>515</v>
      </c>
      <c r="F76" s="18"/>
      <c r="G76" s="32" t="s">
        <v>66</v>
      </c>
      <c r="H76" s="33" t="s">
        <v>462</v>
      </c>
    </row>
    <row r="77" ht="70.5" customHeight="1">
      <c r="A77" s="24">
        <v>71.0</v>
      </c>
      <c r="B77" s="64" t="s">
        <v>473</v>
      </c>
      <c r="C77" s="64" t="s">
        <v>513</v>
      </c>
      <c r="D77" s="70" t="s">
        <v>516</v>
      </c>
      <c r="E77" s="40" t="s">
        <v>517</v>
      </c>
      <c r="F77" s="18"/>
      <c r="G77" s="32" t="s">
        <v>66</v>
      </c>
      <c r="H77" s="33" t="s">
        <v>462</v>
      </c>
    </row>
    <row r="78" ht="70.5" customHeight="1">
      <c r="A78" s="24">
        <v>72.0</v>
      </c>
      <c r="B78" s="34" t="s">
        <v>473</v>
      </c>
      <c r="C78" s="34" t="s">
        <v>503</v>
      </c>
      <c r="D78" s="65" t="s">
        <v>518</v>
      </c>
      <c r="E78" s="31" t="s">
        <v>519</v>
      </c>
      <c r="F78" s="18" t="s">
        <v>520</v>
      </c>
      <c r="G78" s="32" t="s">
        <v>66</v>
      </c>
      <c r="H78" s="66" t="s">
        <v>462</v>
      </c>
    </row>
    <row r="79" ht="70.5" customHeight="1">
      <c r="A79" s="24">
        <v>73.0</v>
      </c>
      <c r="B79" s="25" t="s">
        <v>473</v>
      </c>
      <c r="C79" s="25" t="s">
        <v>521</v>
      </c>
      <c r="D79" s="28" t="s">
        <v>308</v>
      </c>
      <c r="E79" s="28" t="s">
        <v>522</v>
      </c>
      <c r="F79" s="28" t="s">
        <v>523</v>
      </c>
      <c r="G79" s="29" t="s">
        <v>66</v>
      </c>
      <c r="H79" s="69" t="s">
        <v>462</v>
      </c>
    </row>
    <row r="80" ht="65.25" customHeight="1">
      <c r="A80" s="24">
        <v>74.0</v>
      </c>
      <c r="B80" s="34" t="s">
        <v>473</v>
      </c>
      <c r="C80" s="34" t="s">
        <v>521</v>
      </c>
      <c r="D80" s="18" t="s">
        <v>311</v>
      </c>
      <c r="E80" s="18" t="s">
        <v>524</v>
      </c>
      <c r="F80" s="18" t="s">
        <v>525</v>
      </c>
      <c r="G80" s="32" t="s">
        <v>66</v>
      </c>
      <c r="H80" s="66" t="s">
        <v>462</v>
      </c>
    </row>
    <row r="81" ht="61.5" customHeight="1">
      <c r="A81" s="24">
        <v>75.0</v>
      </c>
      <c r="B81" s="34" t="s">
        <v>473</v>
      </c>
      <c r="C81" s="34" t="s">
        <v>521</v>
      </c>
      <c r="D81" s="18" t="s">
        <v>316</v>
      </c>
      <c r="E81" s="31" t="s">
        <v>526</v>
      </c>
      <c r="F81" s="18" t="s">
        <v>527</v>
      </c>
      <c r="G81" s="32" t="s">
        <v>66</v>
      </c>
      <c r="H81" s="66" t="s">
        <v>462</v>
      </c>
    </row>
    <row r="82" ht="66.75" customHeight="1">
      <c r="A82" s="24">
        <v>76.0</v>
      </c>
      <c r="B82" s="60" t="s">
        <v>473</v>
      </c>
      <c r="C82" s="60" t="s">
        <v>521</v>
      </c>
      <c r="D82" s="35" t="s">
        <v>322</v>
      </c>
      <c r="E82" s="71" t="s">
        <v>528</v>
      </c>
      <c r="F82" s="35" t="s">
        <v>529</v>
      </c>
      <c r="G82" s="72" t="s">
        <v>66</v>
      </c>
      <c r="H82" s="73" t="s">
        <v>462</v>
      </c>
    </row>
    <row r="83" ht="66.0" customHeight="1">
      <c r="A83" s="24">
        <v>77.0</v>
      </c>
      <c r="B83" s="74" t="s">
        <v>530</v>
      </c>
      <c r="C83" s="74" t="s">
        <v>531</v>
      </c>
      <c r="D83" s="75" t="s">
        <v>532</v>
      </c>
      <c r="E83" s="75" t="s">
        <v>533</v>
      </c>
      <c r="F83" s="76"/>
      <c r="G83" s="77" t="s">
        <v>434</v>
      </c>
      <c r="H83" s="78"/>
    </row>
    <row r="84" ht="15.75" customHeight="1">
      <c r="A84" s="24">
        <v>78.0</v>
      </c>
      <c r="B84" s="54" t="s">
        <v>530</v>
      </c>
      <c r="C84" s="54" t="s">
        <v>531</v>
      </c>
      <c r="D84" s="40" t="s">
        <v>534</v>
      </c>
      <c r="E84" s="40" t="s">
        <v>535</v>
      </c>
      <c r="F84" s="41"/>
      <c r="G84" s="42" t="s">
        <v>434</v>
      </c>
      <c r="H84" s="79"/>
    </row>
    <row r="85" ht="72.75" customHeight="1">
      <c r="A85" s="24">
        <v>79.0</v>
      </c>
      <c r="B85" s="54" t="s">
        <v>530</v>
      </c>
      <c r="C85" s="54" t="s">
        <v>536</v>
      </c>
      <c r="D85" s="40" t="s">
        <v>537</v>
      </c>
      <c r="E85" s="40" t="s">
        <v>538</v>
      </c>
      <c r="F85" s="41"/>
      <c r="G85" s="42" t="s">
        <v>66</v>
      </c>
      <c r="H85" s="79"/>
    </row>
    <row r="86" ht="15.75" customHeight="1">
      <c r="A86" s="24">
        <v>80.0</v>
      </c>
      <c r="B86" s="54" t="s">
        <v>530</v>
      </c>
      <c r="C86" s="54" t="s">
        <v>539</v>
      </c>
      <c r="D86" s="40" t="s">
        <v>540</v>
      </c>
      <c r="E86" s="40" t="s">
        <v>541</v>
      </c>
      <c r="F86" s="41"/>
      <c r="G86" s="42" t="s">
        <v>66</v>
      </c>
      <c r="H86" s="79"/>
    </row>
    <row r="87" ht="38.25" customHeight="1">
      <c r="A87" s="24">
        <v>81.0</v>
      </c>
      <c r="B87" s="54" t="s">
        <v>530</v>
      </c>
      <c r="C87" s="54" t="s">
        <v>542</v>
      </c>
      <c r="D87" s="40" t="s">
        <v>543</v>
      </c>
      <c r="E87" s="40" t="s">
        <v>544</v>
      </c>
      <c r="F87" s="41"/>
      <c r="G87" s="42" t="s">
        <v>434</v>
      </c>
      <c r="H87" s="79"/>
    </row>
    <row r="88" ht="15.75" customHeight="1">
      <c r="A88" s="24">
        <v>82.0</v>
      </c>
      <c r="B88" s="54" t="s">
        <v>530</v>
      </c>
      <c r="C88" s="54" t="s">
        <v>545</v>
      </c>
      <c r="D88" s="40" t="s">
        <v>546</v>
      </c>
      <c r="E88" s="40" t="s">
        <v>547</v>
      </c>
      <c r="F88" s="41"/>
      <c r="G88" s="42" t="s">
        <v>66</v>
      </c>
      <c r="H88" s="79"/>
    </row>
    <row r="89" ht="15.75" customHeight="1">
      <c r="A89" s="24">
        <v>83.0</v>
      </c>
      <c r="B89" s="54" t="s">
        <v>530</v>
      </c>
      <c r="C89" s="54" t="s">
        <v>545</v>
      </c>
      <c r="D89" s="40" t="s">
        <v>548</v>
      </c>
      <c r="E89" s="40" t="s">
        <v>549</v>
      </c>
      <c r="F89" s="41"/>
      <c r="G89" s="42" t="s">
        <v>66</v>
      </c>
      <c r="H89" s="43" t="s">
        <v>74</v>
      </c>
    </row>
    <row r="90" ht="15.75" customHeight="1">
      <c r="A90" s="24">
        <v>84.0</v>
      </c>
      <c r="B90" s="54" t="s">
        <v>530</v>
      </c>
      <c r="C90" s="54" t="s">
        <v>550</v>
      </c>
      <c r="D90" s="40" t="s">
        <v>551</v>
      </c>
      <c r="E90" s="40" t="s">
        <v>552</v>
      </c>
      <c r="F90" s="41"/>
      <c r="G90" s="42" t="s">
        <v>66</v>
      </c>
      <c r="H90" s="43" t="s">
        <v>74</v>
      </c>
    </row>
    <row r="91" ht="40.5" customHeight="1">
      <c r="A91" s="24">
        <v>85.0</v>
      </c>
      <c r="B91" s="54" t="s">
        <v>530</v>
      </c>
      <c r="C91" s="54" t="s">
        <v>553</v>
      </c>
      <c r="D91" s="40" t="s">
        <v>554</v>
      </c>
      <c r="E91" s="40" t="s">
        <v>555</v>
      </c>
      <c r="F91" s="41"/>
      <c r="G91" s="42" t="s">
        <v>66</v>
      </c>
      <c r="H91" s="43" t="s">
        <v>74</v>
      </c>
    </row>
    <row r="92" ht="15.75" customHeight="1">
      <c r="E92" s="80"/>
    </row>
    <row r="93" ht="15.75" customHeight="1">
      <c r="E93" s="80"/>
    </row>
    <row r="94" ht="15.75" customHeight="1">
      <c r="E94" s="80"/>
    </row>
    <row r="95" ht="15.75" customHeight="1">
      <c r="E95" s="80"/>
    </row>
    <row r="96" ht="15.75" customHeight="1">
      <c r="E96" s="80"/>
    </row>
    <row r="97" ht="15.75" customHeight="1">
      <c r="E97" s="80"/>
    </row>
    <row r="98" ht="15.75" customHeight="1">
      <c r="E98" s="80"/>
    </row>
    <row r="99" ht="15.75" customHeight="1">
      <c r="E99" s="80"/>
    </row>
    <row r="100" ht="15.75" customHeight="1">
      <c r="E100" s="80"/>
    </row>
    <row r="101" ht="15.75" customHeight="1">
      <c r="E101" s="80"/>
    </row>
    <row r="102" ht="15.75" customHeight="1">
      <c r="E102" s="80"/>
    </row>
    <row r="103" ht="15.75" customHeight="1">
      <c r="E103" s="80"/>
    </row>
    <row r="104" ht="15.75" customHeight="1">
      <c r="E104" s="80"/>
    </row>
    <row r="105" ht="15.75" customHeight="1">
      <c r="E105" s="80"/>
    </row>
    <row r="106" ht="15.75" customHeight="1">
      <c r="E106" s="80"/>
    </row>
    <row r="107" ht="15.75" customHeight="1">
      <c r="E107" s="80"/>
    </row>
    <row r="108" ht="15.75" customHeight="1">
      <c r="E108" s="80"/>
    </row>
    <row r="109" ht="15.75" customHeight="1">
      <c r="E109" s="80"/>
    </row>
    <row r="110" ht="15.75" customHeight="1">
      <c r="E110" s="80"/>
    </row>
    <row r="111" ht="15.75" customHeight="1">
      <c r="E111" s="80"/>
    </row>
    <row r="112" ht="15.75" customHeight="1">
      <c r="E112" s="80"/>
    </row>
    <row r="113" ht="15.75" customHeight="1">
      <c r="E113" s="80"/>
    </row>
    <row r="114" ht="15.75" customHeight="1">
      <c r="E114" s="80"/>
    </row>
    <row r="115" ht="15.75" customHeight="1">
      <c r="E115" s="80"/>
    </row>
    <row r="116" ht="15.75" customHeight="1">
      <c r="E116" s="80"/>
    </row>
    <row r="117" ht="15.75" customHeight="1">
      <c r="E117" s="80"/>
    </row>
    <row r="118" ht="15.75" customHeight="1">
      <c r="E118" s="80"/>
    </row>
    <row r="119" ht="15.75" customHeight="1">
      <c r="E119" s="80"/>
    </row>
    <row r="120" ht="15.75" customHeight="1">
      <c r="E120" s="80"/>
    </row>
    <row r="121" ht="15.75" customHeight="1">
      <c r="E121" s="80"/>
    </row>
    <row r="122" ht="15.75" customHeight="1">
      <c r="E122" s="80"/>
    </row>
    <row r="123" ht="15.75" customHeight="1">
      <c r="E123" s="80"/>
    </row>
    <row r="124" ht="15.75" customHeight="1">
      <c r="E124" s="80"/>
    </row>
    <row r="125" ht="15.75" customHeight="1">
      <c r="E125" s="80"/>
    </row>
    <row r="126" ht="15.75" customHeight="1">
      <c r="E126" s="80"/>
    </row>
    <row r="127" ht="15.75" customHeight="1">
      <c r="E127" s="80"/>
    </row>
    <row r="128" ht="15.75" customHeight="1">
      <c r="E128" s="80"/>
    </row>
    <row r="129" ht="15.75" customHeight="1">
      <c r="E129" s="80"/>
    </row>
    <row r="130" ht="15.75" customHeight="1">
      <c r="E130" s="80"/>
    </row>
    <row r="131" ht="15.75" customHeight="1">
      <c r="E131" s="80"/>
    </row>
    <row r="132" ht="15.75" customHeight="1">
      <c r="E132" s="80"/>
    </row>
    <row r="133" ht="15.75" customHeight="1">
      <c r="E133" s="80"/>
    </row>
    <row r="134" ht="15.75" customHeight="1">
      <c r="E134" s="80"/>
    </row>
    <row r="135" ht="15.75" customHeight="1">
      <c r="E135" s="80"/>
    </row>
    <row r="136" ht="15.75" customHeight="1">
      <c r="E136" s="80"/>
    </row>
    <row r="137" ht="15.75" customHeight="1">
      <c r="E137" s="80"/>
    </row>
    <row r="138" ht="15.75" customHeight="1">
      <c r="E138" s="80"/>
    </row>
    <row r="139" ht="15.75" customHeight="1">
      <c r="E139" s="80"/>
    </row>
    <row r="140" ht="15.75" customHeight="1">
      <c r="E140" s="80"/>
    </row>
    <row r="141" ht="15.75" customHeight="1">
      <c r="E141" s="80"/>
    </row>
    <row r="142" ht="15.75" customHeight="1">
      <c r="E142" s="80"/>
    </row>
    <row r="143" ht="15.75" customHeight="1">
      <c r="E143" s="80"/>
    </row>
    <row r="144" ht="15.75" customHeight="1">
      <c r="E144" s="80"/>
    </row>
    <row r="145" ht="15.75" customHeight="1">
      <c r="E145" s="80"/>
    </row>
    <row r="146" ht="15.75" customHeight="1">
      <c r="E146" s="80"/>
    </row>
    <row r="147" ht="15.75" customHeight="1">
      <c r="E147" s="80"/>
    </row>
    <row r="148" ht="15.75" customHeight="1">
      <c r="E148" s="80"/>
    </row>
    <row r="149" ht="15.75" customHeight="1">
      <c r="E149" s="80"/>
    </row>
    <row r="150" ht="15.75" customHeight="1">
      <c r="E150" s="80"/>
    </row>
    <row r="151" ht="15.75" customHeight="1">
      <c r="E151" s="80"/>
    </row>
    <row r="152" ht="15.75" customHeight="1">
      <c r="E152" s="80"/>
    </row>
    <row r="153" ht="15.75" customHeight="1">
      <c r="E153" s="80"/>
    </row>
    <row r="154" ht="15.75" customHeight="1">
      <c r="E154" s="80"/>
    </row>
    <row r="155" ht="15.75" customHeight="1">
      <c r="E155" s="80"/>
    </row>
    <row r="156" ht="15.75" customHeight="1">
      <c r="E156" s="80"/>
    </row>
    <row r="157" ht="15.75" customHeight="1">
      <c r="E157" s="80"/>
    </row>
    <row r="158" ht="15.75" customHeight="1">
      <c r="E158" s="80"/>
    </row>
    <row r="159" ht="15.75" customHeight="1">
      <c r="E159" s="80"/>
    </row>
    <row r="160" ht="15.75" customHeight="1">
      <c r="E160" s="80"/>
    </row>
    <row r="161" ht="15.75" customHeight="1">
      <c r="E161" s="80"/>
    </row>
    <row r="162" ht="15.75" customHeight="1">
      <c r="E162" s="80"/>
    </row>
    <row r="163" ht="15.75" customHeight="1">
      <c r="E163" s="80"/>
    </row>
    <row r="164" ht="15.75" customHeight="1">
      <c r="E164" s="80"/>
    </row>
    <row r="165" ht="15.75" customHeight="1">
      <c r="E165" s="80"/>
    </row>
    <row r="166" ht="15.75" customHeight="1">
      <c r="E166" s="80"/>
    </row>
    <row r="167" ht="15.75" customHeight="1">
      <c r="E167" s="80"/>
    </row>
    <row r="168" ht="15.75" customHeight="1">
      <c r="E168" s="80"/>
    </row>
    <row r="169" ht="15.75" customHeight="1">
      <c r="E169" s="80"/>
    </row>
    <row r="170" ht="15.75" customHeight="1">
      <c r="E170" s="80"/>
    </row>
    <row r="171" ht="15.75" customHeight="1">
      <c r="E171" s="80"/>
    </row>
    <row r="172" ht="15.75" customHeight="1">
      <c r="E172" s="80"/>
    </row>
    <row r="173" ht="15.75" customHeight="1">
      <c r="E173" s="80"/>
    </row>
    <row r="174" ht="15.75" customHeight="1">
      <c r="E174" s="80"/>
    </row>
    <row r="175" ht="15.75" customHeight="1">
      <c r="E175" s="80"/>
    </row>
    <row r="176" ht="15.75" customHeight="1">
      <c r="E176" s="80"/>
    </row>
    <row r="177" ht="15.75" customHeight="1">
      <c r="E177" s="80"/>
    </row>
    <row r="178" ht="15.75" customHeight="1">
      <c r="E178" s="80"/>
    </row>
    <row r="179" ht="15.75" customHeight="1">
      <c r="E179" s="80"/>
    </row>
    <row r="180" ht="15.75" customHeight="1">
      <c r="E180" s="80"/>
    </row>
    <row r="181" ht="15.75" customHeight="1">
      <c r="E181" s="80"/>
    </row>
    <row r="182" ht="15.75" customHeight="1">
      <c r="E182" s="80"/>
    </row>
    <row r="183" ht="15.75" customHeight="1">
      <c r="E183" s="80"/>
    </row>
    <row r="184" ht="15.75" customHeight="1">
      <c r="E184" s="80"/>
    </row>
    <row r="185" ht="15.75" customHeight="1">
      <c r="E185" s="80"/>
    </row>
    <row r="186" ht="15.75" customHeight="1">
      <c r="E186" s="80"/>
    </row>
    <row r="187" ht="15.75" customHeight="1">
      <c r="E187" s="80"/>
    </row>
    <row r="188" ht="15.75" customHeight="1">
      <c r="E188" s="80"/>
    </row>
    <row r="189" ht="15.75" customHeight="1">
      <c r="E189" s="80"/>
    </row>
    <row r="190" ht="15.75" customHeight="1">
      <c r="E190" s="80"/>
    </row>
    <row r="191" ht="15.75" customHeight="1">
      <c r="E191" s="80"/>
    </row>
    <row r="192" ht="15.75" customHeight="1">
      <c r="E192" s="80"/>
    </row>
    <row r="193" ht="15.75" customHeight="1">
      <c r="E193" s="80"/>
    </row>
    <row r="194" ht="15.75" customHeight="1">
      <c r="E194" s="80"/>
    </row>
    <row r="195" ht="15.75" customHeight="1">
      <c r="E195" s="80"/>
    </row>
    <row r="196" ht="15.75" customHeight="1">
      <c r="E196" s="80"/>
    </row>
    <row r="197" ht="15.75" customHeight="1">
      <c r="E197" s="80"/>
    </row>
    <row r="198" ht="15.75" customHeight="1">
      <c r="E198" s="80"/>
    </row>
    <row r="199" ht="15.75" customHeight="1">
      <c r="E199" s="80"/>
    </row>
    <row r="200" ht="15.75" customHeight="1">
      <c r="E200" s="80"/>
    </row>
    <row r="201" ht="15.75" customHeight="1">
      <c r="E201" s="80"/>
    </row>
    <row r="202" ht="15.75" customHeight="1">
      <c r="E202" s="80"/>
    </row>
    <row r="203" ht="15.75" customHeight="1">
      <c r="E203" s="80"/>
    </row>
    <row r="204" ht="15.75" customHeight="1">
      <c r="E204" s="80"/>
    </row>
    <row r="205" ht="15.75" customHeight="1">
      <c r="E205" s="80"/>
    </row>
    <row r="206" ht="15.75" customHeight="1">
      <c r="E206" s="80"/>
    </row>
    <row r="207" ht="15.75" customHeight="1">
      <c r="E207" s="80"/>
    </row>
    <row r="208" ht="15.75" customHeight="1">
      <c r="E208" s="80"/>
    </row>
    <row r="209" ht="15.75" customHeight="1">
      <c r="E209" s="80"/>
    </row>
    <row r="210" ht="15.75" customHeight="1">
      <c r="E210" s="80"/>
    </row>
    <row r="211" ht="15.75" customHeight="1">
      <c r="E211" s="80"/>
    </row>
    <row r="212" ht="15.75" customHeight="1">
      <c r="E212" s="80"/>
    </row>
    <row r="213" ht="15.75" customHeight="1">
      <c r="E213" s="80"/>
    </row>
    <row r="214" ht="15.75" customHeight="1">
      <c r="E214" s="80"/>
    </row>
    <row r="215" ht="15.75" customHeight="1">
      <c r="E215" s="80"/>
    </row>
    <row r="216" ht="15.75" customHeight="1">
      <c r="E216" s="80"/>
    </row>
    <row r="217" ht="15.75" customHeight="1">
      <c r="E217" s="80"/>
    </row>
    <row r="218" ht="15.75" customHeight="1">
      <c r="E218" s="80"/>
    </row>
    <row r="219" ht="15.75" customHeight="1">
      <c r="E219" s="80"/>
    </row>
    <row r="220" ht="15.75" customHeight="1">
      <c r="E220" s="80"/>
    </row>
    <row r="221" ht="15.75" customHeight="1">
      <c r="E221" s="80"/>
    </row>
    <row r="222" ht="15.75" customHeight="1">
      <c r="E222" s="80"/>
    </row>
    <row r="223" ht="15.75" customHeight="1">
      <c r="E223" s="80"/>
    </row>
    <row r="224" ht="15.75" customHeight="1">
      <c r="E224" s="80"/>
    </row>
    <row r="225" ht="15.75" customHeight="1">
      <c r="E225" s="80"/>
    </row>
    <row r="226" ht="15.75" customHeight="1">
      <c r="E226" s="80"/>
    </row>
    <row r="227" ht="15.75" customHeight="1">
      <c r="E227" s="80"/>
    </row>
    <row r="228" ht="15.75" customHeight="1">
      <c r="E228" s="80"/>
    </row>
    <row r="229" ht="15.75" customHeight="1">
      <c r="E229" s="80"/>
    </row>
    <row r="230" ht="15.75" customHeight="1">
      <c r="E230" s="80"/>
    </row>
    <row r="231" ht="15.75" customHeight="1">
      <c r="E231" s="80"/>
    </row>
    <row r="232" ht="15.75" customHeight="1">
      <c r="E232" s="80"/>
    </row>
    <row r="233" ht="15.75" customHeight="1">
      <c r="E233" s="80"/>
    </row>
    <row r="234" ht="15.75" customHeight="1">
      <c r="E234" s="80"/>
    </row>
    <row r="235" ht="15.75" customHeight="1">
      <c r="E235" s="80"/>
    </row>
    <row r="236" ht="15.75" customHeight="1">
      <c r="E236" s="80"/>
    </row>
    <row r="237" ht="15.75" customHeight="1">
      <c r="E237" s="80"/>
    </row>
    <row r="238" ht="15.75" customHeight="1">
      <c r="E238" s="80"/>
    </row>
    <row r="239" ht="15.75" customHeight="1">
      <c r="E239" s="80"/>
    </row>
    <row r="240" ht="15.75" customHeight="1">
      <c r="E240" s="80"/>
    </row>
    <row r="241" ht="15.75" customHeight="1">
      <c r="E241" s="80"/>
    </row>
    <row r="242" ht="15.75" customHeight="1">
      <c r="E242" s="80"/>
    </row>
    <row r="243" ht="15.75" customHeight="1">
      <c r="E243" s="80"/>
    </row>
    <row r="244" ht="15.75" customHeight="1">
      <c r="E244" s="80"/>
    </row>
    <row r="245" ht="15.75" customHeight="1">
      <c r="E245" s="80"/>
    </row>
    <row r="246" ht="15.75" customHeight="1">
      <c r="E246" s="80"/>
    </row>
    <row r="247" ht="15.75" customHeight="1">
      <c r="E247" s="80"/>
    </row>
    <row r="248" ht="15.75" customHeight="1">
      <c r="E248" s="80"/>
    </row>
    <row r="249" ht="15.75" customHeight="1">
      <c r="E249" s="80"/>
    </row>
    <row r="250" ht="15.75" customHeight="1">
      <c r="E250" s="80"/>
    </row>
    <row r="251" ht="15.75" customHeight="1">
      <c r="E251" s="80"/>
    </row>
    <row r="252" ht="15.75" customHeight="1">
      <c r="E252" s="80"/>
    </row>
    <row r="253" ht="15.75" customHeight="1">
      <c r="E253" s="80"/>
    </row>
    <row r="254" ht="15.75" customHeight="1">
      <c r="E254" s="80"/>
    </row>
    <row r="255" ht="15.75" customHeight="1">
      <c r="E255" s="80"/>
    </row>
    <row r="256" ht="15.75" customHeight="1">
      <c r="E256" s="80"/>
    </row>
    <row r="257" ht="15.75" customHeight="1">
      <c r="E257" s="80"/>
    </row>
    <row r="258" ht="15.75" customHeight="1">
      <c r="E258" s="80"/>
    </row>
    <row r="259" ht="15.75" customHeight="1">
      <c r="E259" s="80"/>
    </row>
    <row r="260" ht="15.75" customHeight="1">
      <c r="E260" s="80"/>
    </row>
    <row r="261" ht="15.75" customHeight="1">
      <c r="E261" s="80"/>
    </row>
    <row r="262" ht="15.75" customHeight="1">
      <c r="E262" s="80"/>
    </row>
    <row r="263" ht="15.75" customHeight="1">
      <c r="E263" s="80"/>
    </row>
    <row r="264" ht="15.75" customHeight="1">
      <c r="E264" s="80"/>
    </row>
    <row r="265" ht="15.75" customHeight="1">
      <c r="E265" s="80"/>
    </row>
    <row r="266" ht="15.75" customHeight="1">
      <c r="E266" s="80"/>
    </row>
    <row r="267" ht="15.75" customHeight="1">
      <c r="E267" s="80"/>
    </row>
    <row r="268" ht="15.75" customHeight="1">
      <c r="E268" s="80"/>
    </row>
    <row r="269" ht="15.75" customHeight="1">
      <c r="E269" s="80"/>
    </row>
    <row r="270" ht="15.75" customHeight="1">
      <c r="E270" s="80"/>
    </row>
    <row r="271" ht="15.75" customHeight="1">
      <c r="E271" s="80"/>
    </row>
    <row r="272" ht="15.75" customHeight="1">
      <c r="E272" s="80"/>
    </row>
    <row r="273" ht="15.75" customHeight="1">
      <c r="E273" s="80"/>
    </row>
    <row r="274" ht="15.75" customHeight="1">
      <c r="E274" s="80"/>
    </row>
    <row r="275" ht="15.75" customHeight="1">
      <c r="E275" s="80"/>
    </row>
    <row r="276" ht="15.75" customHeight="1">
      <c r="E276" s="80"/>
    </row>
    <row r="277" ht="15.75" customHeight="1">
      <c r="E277" s="80"/>
    </row>
    <row r="278" ht="15.75" customHeight="1">
      <c r="E278" s="80"/>
    </row>
    <row r="279" ht="15.75" customHeight="1">
      <c r="E279" s="80"/>
    </row>
    <row r="280" ht="15.75" customHeight="1">
      <c r="E280" s="80"/>
    </row>
    <row r="281" ht="15.75" customHeight="1">
      <c r="E281" s="80"/>
    </row>
    <row r="282" ht="15.75" customHeight="1">
      <c r="E282" s="80"/>
    </row>
    <row r="283" ht="15.75" customHeight="1">
      <c r="E283" s="80"/>
    </row>
    <row r="284" ht="15.75" customHeight="1">
      <c r="E284" s="80"/>
    </row>
    <row r="285" ht="15.75" customHeight="1">
      <c r="E285" s="80"/>
    </row>
    <row r="286" ht="15.75" customHeight="1">
      <c r="E286" s="80"/>
    </row>
    <row r="287" ht="15.75" customHeight="1">
      <c r="E287" s="80"/>
    </row>
    <row r="288" ht="15.75" customHeight="1">
      <c r="E288" s="80"/>
    </row>
    <row r="289" ht="15.75" customHeight="1">
      <c r="E289" s="80"/>
    </row>
    <row r="290" ht="15.75" customHeight="1">
      <c r="E290" s="80"/>
    </row>
    <row r="291" ht="15.75" customHeight="1">
      <c r="E291" s="80"/>
    </row>
    <row r="292" ht="15.75" customHeight="1">
      <c r="E292" s="80"/>
    </row>
    <row r="293" ht="15.75" customHeight="1">
      <c r="E293" s="80"/>
    </row>
    <row r="294" ht="15.75" customHeight="1">
      <c r="E294" s="80"/>
    </row>
    <row r="295" ht="15.75" customHeight="1">
      <c r="E295" s="80"/>
    </row>
    <row r="296" ht="15.75" customHeight="1">
      <c r="E296" s="80"/>
    </row>
    <row r="297" ht="15.75" customHeight="1">
      <c r="E297" s="80"/>
    </row>
    <row r="298" ht="15.75" customHeight="1">
      <c r="E298" s="80"/>
    </row>
    <row r="299" ht="15.75" customHeight="1">
      <c r="E299" s="80"/>
    </row>
    <row r="300" ht="15.75" customHeight="1">
      <c r="E300" s="80"/>
    </row>
    <row r="301" ht="15.75" customHeight="1">
      <c r="E301" s="80"/>
    </row>
    <row r="302" ht="15.75" customHeight="1">
      <c r="E302" s="80"/>
    </row>
    <row r="303" ht="15.75" customHeight="1">
      <c r="E303" s="80"/>
    </row>
    <row r="304" ht="15.75" customHeight="1">
      <c r="E304" s="80"/>
    </row>
    <row r="305" ht="15.75" customHeight="1">
      <c r="E305" s="80"/>
    </row>
    <row r="306" ht="15.75" customHeight="1">
      <c r="E306" s="80"/>
    </row>
    <row r="307" ht="15.75" customHeight="1">
      <c r="E307" s="80"/>
    </row>
    <row r="308" ht="15.75" customHeight="1">
      <c r="E308" s="80"/>
    </row>
    <row r="309" ht="15.75" customHeight="1">
      <c r="E309" s="80"/>
    </row>
    <row r="310" ht="15.75" customHeight="1">
      <c r="E310" s="80"/>
    </row>
    <row r="311" ht="15.75" customHeight="1">
      <c r="E311" s="80"/>
    </row>
    <row r="312" ht="15.75" customHeight="1">
      <c r="E312" s="80"/>
    </row>
    <row r="313" ht="15.75" customHeight="1">
      <c r="E313" s="80"/>
    </row>
    <row r="314" ht="15.75" customHeight="1">
      <c r="E314" s="80"/>
    </row>
    <row r="315" ht="15.75" customHeight="1">
      <c r="E315" s="80"/>
    </row>
    <row r="316" ht="15.75" customHeight="1">
      <c r="E316" s="80"/>
    </row>
    <row r="317" ht="15.75" customHeight="1">
      <c r="E317" s="80"/>
    </row>
    <row r="318" ht="15.75" customHeight="1">
      <c r="E318" s="80"/>
    </row>
    <row r="319" ht="15.75" customHeight="1">
      <c r="E319" s="80"/>
    </row>
    <row r="320" ht="15.75" customHeight="1">
      <c r="E320" s="80"/>
    </row>
    <row r="321" ht="15.75" customHeight="1">
      <c r="E321" s="80"/>
    </row>
    <row r="322" ht="15.75" customHeight="1">
      <c r="E322" s="80"/>
    </row>
    <row r="323" ht="15.75" customHeight="1">
      <c r="E323" s="80"/>
    </row>
    <row r="324" ht="15.75" customHeight="1">
      <c r="E324" s="80"/>
    </row>
    <row r="325" ht="15.75" customHeight="1">
      <c r="E325" s="80"/>
    </row>
    <row r="326" ht="15.75" customHeight="1">
      <c r="E326" s="80"/>
    </row>
    <row r="327" ht="15.75" customHeight="1">
      <c r="E327" s="80"/>
    </row>
    <row r="328" ht="15.75" customHeight="1">
      <c r="E328" s="80"/>
    </row>
    <row r="329" ht="15.75" customHeight="1">
      <c r="E329" s="80"/>
    </row>
    <row r="330" ht="15.75" customHeight="1">
      <c r="E330" s="80"/>
    </row>
    <row r="331" ht="15.75" customHeight="1">
      <c r="E331" s="80"/>
    </row>
    <row r="332" ht="15.75" customHeight="1">
      <c r="E332" s="80"/>
    </row>
    <row r="333" ht="15.75" customHeight="1">
      <c r="E333" s="80"/>
    </row>
    <row r="334" ht="15.75" customHeight="1">
      <c r="E334" s="80"/>
    </row>
    <row r="335" ht="15.75" customHeight="1">
      <c r="E335" s="80"/>
    </row>
    <row r="336" ht="15.75" customHeight="1">
      <c r="E336" s="80"/>
    </row>
    <row r="337" ht="15.75" customHeight="1">
      <c r="E337" s="80"/>
    </row>
    <row r="338" ht="15.75" customHeight="1">
      <c r="E338" s="80"/>
    </row>
    <row r="339" ht="15.75" customHeight="1">
      <c r="E339" s="80"/>
    </row>
    <row r="340" ht="15.75" customHeight="1">
      <c r="E340" s="80"/>
    </row>
    <row r="341" ht="15.75" customHeight="1">
      <c r="E341" s="80"/>
    </row>
    <row r="342" ht="15.75" customHeight="1">
      <c r="E342" s="80"/>
    </row>
    <row r="343" ht="15.75" customHeight="1">
      <c r="E343" s="80"/>
    </row>
    <row r="344" ht="15.75" customHeight="1">
      <c r="E344" s="80"/>
    </row>
    <row r="345" ht="15.75" customHeight="1">
      <c r="E345" s="80"/>
    </row>
    <row r="346" ht="15.75" customHeight="1">
      <c r="E346" s="80"/>
    </row>
    <row r="347" ht="15.75" customHeight="1">
      <c r="E347" s="80"/>
    </row>
    <row r="348" ht="15.75" customHeight="1">
      <c r="E348" s="80"/>
    </row>
    <row r="349" ht="15.75" customHeight="1">
      <c r="E349" s="80"/>
    </row>
    <row r="350" ht="15.75" customHeight="1">
      <c r="E350" s="80"/>
    </row>
    <row r="351" ht="15.75" customHeight="1">
      <c r="E351" s="80"/>
    </row>
    <row r="352" ht="15.75" customHeight="1">
      <c r="E352" s="80"/>
    </row>
    <row r="353" ht="15.75" customHeight="1">
      <c r="E353" s="80"/>
    </row>
    <row r="354" ht="15.75" customHeight="1">
      <c r="E354" s="80"/>
    </row>
    <row r="355" ht="15.75" customHeight="1">
      <c r="E355" s="80"/>
    </row>
    <row r="356" ht="15.75" customHeight="1">
      <c r="E356" s="80"/>
    </row>
    <row r="357" ht="15.75" customHeight="1">
      <c r="E357" s="80"/>
    </row>
    <row r="358" ht="15.75" customHeight="1">
      <c r="E358" s="80"/>
    </row>
    <row r="359" ht="15.75" customHeight="1">
      <c r="E359" s="80"/>
    </row>
    <row r="360" ht="15.75" customHeight="1">
      <c r="E360" s="80"/>
    </row>
    <row r="361" ht="15.75" customHeight="1">
      <c r="E361" s="80"/>
    </row>
    <row r="362" ht="15.75" customHeight="1">
      <c r="E362" s="80"/>
    </row>
    <row r="363" ht="15.75" customHeight="1">
      <c r="E363" s="80"/>
    </row>
    <row r="364" ht="15.75" customHeight="1">
      <c r="E364" s="80"/>
    </row>
    <row r="365" ht="15.75" customHeight="1">
      <c r="E365" s="80"/>
    </row>
    <row r="366" ht="15.75" customHeight="1">
      <c r="E366" s="80"/>
    </row>
    <row r="367" ht="15.75" customHeight="1">
      <c r="E367" s="80"/>
    </row>
    <row r="368" ht="15.75" customHeight="1">
      <c r="E368" s="80"/>
    </row>
    <row r="369" ht="15.75" customHeight="1">
      <c r="E369" s="80"/>
    </row>
    <row r="370" ht="15.75" customHeight="1">
      <c r="E370" s="80"/>
    </row>
    <row r="371" ht="15.75" customHeight="1">
      <c r="E371" s="80"/>
    </row>
    <row r="372" ht="15.75" customHeight="1">
      <c r="E372" s="80"/>
    </row>
    <row r="373" ht="15.75" customHeight="1">
      <c r="E373" s="80"/>
    </row>
    <row r="374" ht="15.75" customHeight="1">
      <c r="E374" s="80"/>
    </row>
    <row r="375" ht="15.75" customHeight="1">
      <c r="E375" s="80"/>
    </row>
    <row r="376" ht="15.75" customHeight="1">
      <c r="E376" s="80"/>
    </row>
    <row r="377" ht="15.75" customHeight="1">
      <c r="E377" s="80"/>
    </row>
    <row r="378" ht="15.75" customHeight="1">
      <c r="E378" s="80"/>
    </row>
    <row r="379" ht="15.75" customHeight="1">
      <c r="E379" s="80"/>
    </row>
    <row r="380" ht="15.75" customHeight="1">
      <c r="E380" s="80"/>
    </row>
    <row r="381" ht="15.75" customHeight="1">
      <c r="E381" s="80"/>
    </row>
    <row r="382" ht="15.75" customHeight="1">
      <c r="E382" s="80"/>
    </row>
    <row r="383" ht="15.75" customHeight="1">
      <c r="E383" s="80"/>
    </row>
    <row r="384" ht="15.75" customHeight="1">
      <c r="E384" s="80"/>
    </row>
    <row r="385" ht="15.75" customHeight="1">
      <c r="E385" s="80"/>
    </row>
    <row r="386" ht="15.75" customHeight="1">
      <c r="E386" s="80"/>
    </row>
    <row r="387" ht="15.75" customHeight="1">
      <c r="E387" s="80"/>
    </row>
    <row r="388" ht="15.75" customHeight="1">
      <c r="E388" s="80"/>
    </row>
    <row r="389" ht="15.75" customHeight="1">
      <c r="E389" s="80"/>
    </row>
    <row r="390" ht="15.75" customHeight="1">
      <c r="E390" s="80"/>
    </row>
    <row r="391" ht="15.75" customHeight="1">
      <c r="E391" s="80"/>
    </row>
    <row r="392" ht="15.75" customHeight="1">
      <c r="E392" s="80"/>
    </row>
    <row r="393" ht="15.75" customHeight="1">
      <c r="E393" s="80"/>
    </row>
    <row r="394" ht="15.75" customHeight="1">
      <c r="E394" s="80"/>
    </row>
    <row r="395" ht="15.75" customHeight="1">
      <c r="E395" s="80"/>
    </row>
    <row r="396" ht="15.75" customHeight="1">
      <c r="E396" s="80"/>
    </row>
    <row r="397" ht="15.75" customHeight="1">
      <c r="E397" s="80"/>
    </row>
    <row r="398" ht="15.75" customHeight="1">
      <c r="E398" s="80"/>
    </row>
    <row r="399" ht="15.75" customHeight="1">
      <c r="E399" s="80"/>
    </row>
    <row r="400" ht="15.75" customHeight="1">
      <c r="E400" s="80"/>
    </row>
    <row r="401" ht="15.75" customHeight="1">
      <c r="E401" s="80"/>
    </row>
    <row r="402" ht="15.75" customHeight="1">
      <c r="E402" s="80"/>
    </row>
    <row r="403" ht="15.75" customHeight="1">
      <c r="E403" s="80"/>
    </row>
    <row r="404" ht="15.75" customHeight="1">
      <c r="E404" s="80"/>
    </row>
    <row r="405" ht="15.75" customHeight="1">
      <c r="E405" s="80"/>
    </row>
    <row r="406" ht="15.75" customHeight="1">
      <c r="E406" s="80"/>
    </row>
    <row r="407" ht="15.75" customHeight="1">
      <c r="E407" s="80"/>
    </row>
    <row r="408" ht="15.75" customHeight="1">
      <c r="E408" s="80"/>
    </row>
    <row r="409" ht="15.75" customHeight="1">
      <c r="E409" s="80"/>
    </row>
    <row r="410" ht="15.75" customHeight="1">
      <c r="E410" s="80"/>
    </row>
    <row r="411" ht="15.75" customHeight="1">
      <c r="E411" s="80"/>
    </row>
    <row r="412" ht="15.75" customHeight="1">
      <c r="E412" s="80"/>
    </row>
    <row r="413" ht="15.75" customHeight="1">
      <c r="E413" s="80"/>
    </row>
    <row r="414" ht="15.75" customHeight="1">
      <c r="E414" s="80"/>
    </row>
    <row r="415" ht="15.75" customHeight="1">
      <c r="E415" s="80"/>
    </row>
    <row r="416" ht="15.75" customHeight="1">
      <c r="E416" s="80"/>
    </row>
    <row r="417" ht="15.75" customHeight="1">
      <c r="E417" s="80"/>
    </row>
    <row r="418" ht="15.75" customHeight="1">
      <c r="E418" s="80"/>
    </row>
    <row r="419" ht="15.75" customHeight="1">
      <c r="E419" s="80"/>
    </row>
    <row r="420" ht="15.75" customHeight="1">
      <c r="E420" s="80"/>
    </row>
    <row r="421" ht="15.75" customHeight="1">
      <c r="E421" s="80"/>
    </row>
    <row r="422" ht="15.75" customHeight="1">
      <c r="E422" s="80"/>
    </row>
    <row r="423" ht="15.75" customHeight="1">
      <c r="E423" s="80"/>
    </row>
    <row r="424" ht="15.75" customHeight="1">
      <c r="E424" s="80"/>
    </row>
    <row r="425" ht="15.75" customHeight="1">
      <c r="E425" s="80"/>
    </row>
    <row r="426" ht="15.75" customHeight="1">
      <c r="E426" s="80"/>
    </row>
    <row r="427" ht="15.75" customHeight="1">
      <c r="E427" s="80"/>
    </row>
    <row r="428" ht="15.75" customHeight="1">
      <c r="E428" s="80"/>
    </row>
    <row r="429" ht="15.75" customHeight="1">
      <c r="E429" s="80"/>
    </row>
    <row r="430" ht="15.75" customHeight="1">
      <c r="E430" s="80"/>
    </row>
    <row r="431" ht="15.75" customHeight="1">
      <c r="E431" s="80"/>
    </row>
    <row r="432" ht="15.75" customHeight="1">
      <c r="E432" s="80"/>
    </row>
    <row r="433" ht="15.75" customHeight="1">
      <c r="E433" s="80"/>
    </row>
    <row r="434" ht="15.75" customHeight="1">
      <c r="E434" s="80"/>
    </row>
    <row r="435" ht="15.75" customHeight="1">
      <c r="E435" s="80"/>
    </row>
    <row r="436" ht="15.75" customHeight="1">
      <c r="E436" s="80"/>
    </row>
    <row r="437" ht="15.75" customHeight="1">
      <c r="E437" s="80"/>
    </row>
    <row r="438" ht="15.75" customHeight="1">
      <c r="E438" s="80"/>
    </row>
    <row r="439" ht="15.75" customHeight="1">
      <c r="E439" s="80"/>
    </row>
    <row r="440" ht="15.75" customHeight="1">
      <c r="E440" s="80"/>
    </row>
    <row r="441" ht="15.75" customHeight="1">
      <c r="E441" s="80"/>
    </row>
    <row r="442" ht="15.75" customHeight="1">
      <c r="E442" s="80"/>
    </row>
    <row r="443" ht="15.75" customHeight="1">
      <c r="E443" s="80"/>
    </row>
    <row r="444" ht="15.75" customHeight="1">
      <c r="E444" s="80"/>
    </row>
    <row r="445" ht="15.75" customHeight="1">
      <c r="E445" s="80"/>
    </row>
    <row r="446" ht="15.75" customHeight="1">
      <c r="E446" s="80"/>
    </row>
    <row r="447" ht="15.75" customHeight="1">
      <c r="E447" s="80"/>
    </row>
    <row r="448" ht="15.75" customHeight="1">
      <c r="E448" s="80"/>
    </row>
    <row r="449" ht="15.75" customHeight="1">
      <c r="E449" s="80"/>
    </row>
    <row r="450" ht="15.75" customHeight="1">
      <c r="E450" s="80"/>
    </row>
    <row r="451" ht="15.75" customHeight="1">
      <c r="E451" s="80"/>
    </row>
    <row r="452" ht="15.75" customHeight="1">
      <c r="E452" s="80"/>
    </row>
    <row r="453" ht="15.75" customHeight="1">
      <c r="E453" s="80"/>
    </row>
    <row r="454" ht="15.75" customHeight="1">
      <c r="E454" s="80"/>
    </row>
    <row r="455" ht="15.75" customHeight="1">
      <c r="E455" s="80"/>
    </row>
    <row r="456" ht="15.75" customHeight="1">
      <c r="E456" s="80"/>
    </row>
    <row r="457" ht="15.75" customHeight="1">
      <c r="E457" s="80"/>
    </row>
    <row r="458" ht="15.75" customHeight="1">
      <c r="E458" s="80"/>
    </row>
    <row r="459" ht="15.75" customHeight="1">
      <c r="E459" s="80"/>
    </row>
    <row r="460" ht="15.75" customHeight="1">
      <c r="E460" s="80"/>
    </row>
    <row r="461" ht="15.75" customHeight="1">
      <c r="E461" s="80"/>
    </row>
    <row r="462" ht="15.75" customHeight="1">
      <c r="E462" s="80"/>
    </row>
    <row r="463" ht="15.75" customHeight="1">
      <c r="E463" s="80"/>
    </row>
    <row r="464" ht="15.75" customHeight="1">
      <c r="E464" s="80"/>
    </row>
    <row r="465" ht="15.75" customHeight="1">
      <c r="E465" s="80"/>
    </row>
    <row r="466" ht="15.75" customHeight="1">
      <c r="E466" s="80"/>
    </row>
    <row r="467" ht="15.75" customHeight="1">
      <c r="E467" s="80"/>
    </row>
    <row r="468" ht="15.75" customHeight="1">
      <c r="E468" s="80"/>
    </row>
    <row r="469" ht="15.75" customHeight="1">
      <c r="E469" s="80"/>
    </row>
    <row r="470" ht="15.75" customHeight="1">
      <c r="E470" s="80"/>
    </row>
    <row r="471" ht="15.75" customHeight="1">
      <c r="E471" s="80"/>
    </row>
    <row r="472" ht="15.75" customHeight="1">
      <c r="E472" s="80"/>
    </row>
    <row r="473" ht="15.75" customHeight="1">
      <c r="E473" s="80"/>
    </row>
    <row r="474" ht="15.75" customHeight="1">
      <c r="E474" s="80"/>
    </row>
    <row r="475" ht="15.75" customHeight="1">
      <c r="E475" s="80"/>
    </row>
    <row r="476" ht="15.75" customHeight="1">
      <c r="E476" s="80"/>
    </row>
    <row r="477" ht="15.75" customHeight="1">
      <c r="E477" s="80"/>
    </row>
    <row r="478" ht="15.75" customHeight="1">
      <c r="E478" s="80"/>
    </row>
    <row r="479" ht="15.75" customHeight="1">
      <c r="E479" s="80"/>
    </row>
    <row r="480" ht="15.75" customHeight="1">
      <c r="E480" s="80"/>
    </row>
    <row r="481" ht="15.75" customHeight="1">
      <c r="E481" s="80"/>
    </row>
    <row r="482" ht="15.75" customHeight="1">
      <c r="E482" s="80"/>
    </row>
    <row r="483" ht="15.75" customHeight="1">
      <c r="E483" s="80"/>
    </row>
    <row r="484" ht="15.75" customHeight="1">
      <c r="E484" s="80"/>
    </row>
    <row r="485" ht="15.75" customHeight="1">
      <c r="E485" s="80"/>
    </row>
    <row r="486" ht="15.75" customHeight="1">
      <c r="E486" s="80"/>
    </row>
    <row r="487" ht="15.75" customHeight="1">
      <c r="E487" s="80"/>
    </row>
    <row r="488" ht="15.75" customHeight="1">
      <c r="E488" s="80"/>
    </row>
    <row r="489" ht="15.75" customHeight="1">
      <c r="E489" s="80"/>
    </row>
    <row r="490" ht="15.75" customHeight="1">
      <c r="E490" s="80"/>
    </row>
    <row r="491" ht="15.75" customHeight="1">
      <c r="E491" s="80"/>
    </row>
    <row r="492" ht="15.75" customHeight="1">
      <c r="E492" s="80"/>
    </row>
    <row r="493" ht="15.75" customHeight="1">
      <c r="E493" s="80"/>
    </row>
    <row r="494" ht="15.75" customHeight="1">
      <c r="E494" s="80"/>
    </row>
    <row r="495" ht="15.75" customHeight="1">
      <c r="E495" s="80"/>
    </row>
    <row r="496" ht="15.75" customHeight="1">
      <c r="E496" s="80"/>
    </row>
    <row r="497" ht="15.75" customHeight="1">
      <c r="E497" s="80"/>
    </row>
    <row r="498" ht="15.75" customHeight="1">
      <c r="E498" s="80"/>
    </row>
    <row r="499" ht="15.75" customHeight="1">
      <c r="E499" s="80"/>
    </row>
    <row r="500" ht="15.75" customHeight="1">
      <c r="E500" s="80"/>
    </row>
    <row r="501" ht="15.75" customHeight="1">
      <c r="E501" s="80"/>
    </row>
    <row r="502" ht="15.75" customHeight="1">
      <c r="E502" s="80"/>
    </row>
    <row r="503" ht="15.75" customHeight="1">
      <c r="E503" s="80"/>
    </row>
    <row r="504" ht="15.75" customHeight="1">
      <c r="E504" s="80"/>
    </row>
    <row r="505" ht="15.75" customHeight="1">
      <c r="E505" s="80"/>
    </row>
    <row r="506" ht="15.75" customHeight="1">
      <c r="E506" s="80"/>
    </row>
    <row r="507" ht="15.75" customHeight="1">
      <c r="E507" s="80"/>
    </row>
    <row r="508" ht="15.75" customHeight="1">
      <c r="E508" s="80"/>
    </row>
    <row r="509" ht="15.75" customHeight="1">
      <c r="E509" s="80"/>
    </row>
    <row r="510" ht="15.75" customHeight="1">
      <c r="E510" s="80"/>
    </row>
    <row r="511" ht="15.75" customHeight="1">
      <c r="E511" s="80"/>
    </row>
    <row r="512" ht="15.75" customHeight="1">
      <c r="E512" s="80"/>
    </row>
    <row r="513" ht="15.75" customHeight="1">
      <c r="E513" s="80"/>
    </row>
    <row r="514" ht="15.75" customHeight="1">
      <c r="E514" s="80"/>
    </row>
    <row r="515" ht="15.75" customHeight="1">
      <c r="E515" s="80"/>
    </row>
    <row r="516" ht="15.75" customHeight="1">
      <c r="E516" s="80"/>
    </row>
    <row r="517" ht="15.75" customHeight="1">
      <c r="E517" s="80"/>
    </row>
    <row r="518" ht="15.75" customHeight="1">
      <c r="E518" s="80"/>
    </row>
    <row r="519" ht="15.75" customHeight="1">
      <c r="E519" s="80"/>
    </row>
    <row r="520" ht="15.75" customHeight="1">
      <c r="E520" s="80"/>
    </row>
    <row r="521" ht="15.75" customHeight="1">
      <c r="E521" s="80"/>
    </row>
    <row r="522" ht="15.75" customHeight="1">
      <c r="E522" s="80"/>
    </row>
    <row r="523" ht="15.75" customHeight="1">
      <c r="E523" s="80"/>
    </row>
    <row r="524" ht="15.75" customHeight="1">
      <c r="E524" s="80"/>
    </row>
    <row r="525" ht="15.75" customHeight="1">
      <c r="E525" s="80"/>
    </row>
    <row r="526" ht="15.75" customHeight="1">
      <c r="E526" s="80"/>
    </row>
    <row r="527" ht="15.75" customHeight="1">
      <c r="E527" s="80"/>
    </row>
    <row r="528" ht="15.75" customHeight="1">
      <c r="E528" s="80"/>
    </row>
    <row r="529" ht="15.75" customHeight="1">
      <c r="E529" s="80"/>
    </row>
    <row r="530" ht="15.75" customHeight="1">
      <c r="E530" s="80"/>
    </row>
    <row r="531" ht="15.75" customHeight="1">
      <c r="E531" s="80"/>
    </row>
    <row r="532" ht="15.75" customHeight="1">
      <c r="E532" s="80"/>
    </row>
    <row r="533" ht="15.75" customHeight="1">
      <c r="E533" s="80"/>
    </row>
    <row r="534" ht="15.75" customHeight="1">
      <c r="E534" s="80"/>
    </row>
    <row r="535" ht="15.75" customHeight="1">
      <c r="E535" s="80"/>
    </row>
    <row r="536" ht="15.75" customHeight="1">
      <c r="E536" s="80"/>
    </row>
    <row r="537" ht="15.75" customHeight="1">
      <c r="E537" s="80"/>
    </row>
    <row r="538" ht="15.75" customHeight="1">
      <c r="E538" s="80"/>
    </row>
    <row r="539" ht="15.75" customHeight="1">
      <c r="E539" s="80"/>
    </row>
    <row r="540" ht="15.75" customHeight="1">
      <c r="E540" s="80"/>
    </row>
    <row r="541" ht="15.75" customHeight="1">
      <c r="E541" s="80"/>
    </row>
    <row r="542" ht="15.75" customHeight="1">
      <c r="E542" s="80"/>
    </row>
    <row r="543" ht="15.75" customHeight="1">
      <c r="E543" s="80"/>
    </row>
    <row r="544" ht="15.75" customHeight="1">
      <c r="E544" s="80"/>
    </row>
    <row r="545" ht="15.75" customHeight="1">
      <c r="E545" s="80"/>
    </row>
    <row r="546" ht="15.75" customHeight="1">
      <c r="E546" s="80"/>
    </row>
    <row r="547" ht="15.75" customHeight="1">
      <c r="E547" s="80"/>
    </row>
    <row r="548" ht="15.75" customHeight="1">
      <c r="E548" s="80"/>
    </row>
    <row r="549" ht="15.75" customHeight="1">
      <c r="E549" s="80"/>
    </row>
    <row r="550" ht="15.75" customHeight="1">
      <c r="E550" s="80"/>
    </row>
    <row r="551" ht="15.75" customHeight="1">
      <c r="E551" s="80"/>
    </row>
    <row r="552" ht="15.75" customHeight="1">
      <c r="E552" s="80"/>
    </row>
    <row r="553" ht="15.75" customHeight="1">
      <c r="E553" s="80"/>
    </row>
    <row r="554" ht="15.75" customHeight="1">
      <c r="E554" s="80"/>
    </row>
    <row r="555" ht="15.75" customHeight="1">
      <c r="E555" s="80"/>
    </row>
    <row r="556" ht="15.75" customHeight="1">
      <c r="E556" s="80"/>
    </row>
    <row r="557" ht="15.75" customHeight="1">
      <c r="E557" s="80"/>
    </row>
    <row r="558" ht="15.75" customHeight="1">
      <c r="E558" s="80"/>
    </row>
    <row r="559" ht="15.75" customHeight="1">
      <c r="E559" s="80"/>
    </row>
    <row r="560" ht="15.75" customHeight="1">
      <c r="E560" s="80"/>
    </row>
    <row r="561" ht="15.75" customHeight="1">
      <c r="E561" s="80"/>
    </row>
    <row r="562" ht="15.75" customHeight="1">
      <c r="E562" s="80"/>
    </row>
    <row r="563" ht="15.75" customHeight="1">
      <c r="E563" s="80"/>
    </row>
    <row r="564" ht="15.75" customHeight="1">
      <c r="E564" s="80"/>
    </row>
    <row r="565" ht="15.75" customHeight="1">
      <c r="E565" s="80"/>
    </row>
    <row r="566" ht="15.75" customHeight="1">
      <c r="E566" s="80"/>
    </row>
    <row r="567" ht="15.75" customHeight="1">
      <c r="E567" s="80"/>
    </row>
    <row r="568" ht="15.75" customHeight="1">
      <c r="E568" s="80"/>
    </row>
    <row r="569" ht="15.75" customHeight="1">
      <c r="E569" s="80"/>
    </row>
    <row r="570" ht="15.75" customHeight="1">
      <c r="E570" s="80"/>
    </row>
    <row r="571" ht="15.75" customHeight="1">
      <c r="E571" s="80"/>
    </row>
    <row r="572" ht="15.75" customHeight="1">
      <c r="E572" s="80"/>
    </row>
    <row r="573" ht="15.75" customHeight="1">
      <c r="E573" s="80"/>
    </row>
    <row r="574" ht="15.75" customHeight="1">
      <c r="E574" s="80"/>
    </row>
    <row r="575" ht="15.75" customHeight="1">
      <c r="E575" s="80"/>
    </row>
    <row r="576" ht="15.75" customHeight="1">
      <c r="E576" s="80"/>
    </row>
    <row r="577" ht="15.75" customHeight="1">
      <c r="E577" s="80"/>
    </row>
    <row r="578" ht="15.75" customHeight="1">
      <c r="E578" s="80"/>
    </row>
    <row r="579" ht="15.75" customHeight="1">
      <c r="E579" s="80"/>
    </row>
    <row r="580" ht="15.75" customHeight="1">
      <c r="E580" s="80"/>
    </row>
    <row r="581" ht="15.75" customHeight="1">
      <c r="E581" s="80"/>
    </row>
    <row r="582" ht="15.75" customHeight="1">
      <c r="E582" s="80"/>
    </row>
    <row r="583" ht="15.75" customHeight="1">
      <c r="E583" s="80"/>
    </row>
    <row r="584" ht="15.75" customHeight="1">
      <c r="E584" s="80"/>
    </row>
    <row r="585" ht="15.75" customHeight="1">
      <c r="E585" s="80"/>
    </row>
    <row r="586" ht="15.75" customHeight="1">
      <c r="E586" s="80"/>
    </row>
    <row r="587" ht="15.75" customHeight="1">
      <c r="E587" s="80"/>
    </row>
    <row r="588" ht="15.75" customHeight="1">
      <c r="E588" s="80"/>
    </row>
    <row r="589" ht="15.75" customHeight="1">
      <c r="E589" s="80"/>
    </row>
    <row r="590" ht="15.75" customHeight="1">
      <c r="E590" s="80"/>
    </row>
    <row r="591" ht="15.75" customHeight="1">
      <c r="E591" s="80"/>
    </row>
    <row r="592" ht="15.75" customHeight="1">
      <c r="E592" s="80"/>
    </row>
    <row r="593" ht="15.75" customHeight="1">
      <c r="E593" s="80"/>
    </row>
    <row r="594" ht="15.75" customHeight="1">
      <c r="E594" s="80"/>
    </row>
    <row r="595" ht="15.75" customHeight="1">
      <c r="E595" s="80"/>
    </row>
    <row r="596" ht="15.75" customHeight="1">
      <c r="E596" s="80"/>
    </row>
    <row r="597" ht="15.75" customHeight="1">
      <c r="E597" s="80"/>
    </row>
    <row r="598" ht="15.75" customHeight="1">
      <c r="E598" s="80"/>
    </row>
    <row r="599" ht="15.75" customHeight="1">
      <c r="E599" s="80"/>
    </row>
    <row r="600" ht="15.75" customHeight="1">
      <c r="E600" s="80"/>
    </row>
    <row r="601" ht="15.75" customHeight="1">
      <c r="E601" s="80"/>
    </row>
    <row r="602" ht="15.75" customHeight="1">
      <c r="E602" s="80"/>
    </row>
    <row r="603" ht="15.75" customHeight="1">
      <c r="E603" s="80"/>
    </row>
    <row r="604" ht="15.75" customHeight="1">
      <c r="E604" s="80"/>
    </row>
    <row r="605" ht="15.75" customHeight="1">
      <c r="E605" s="80"/>
    </row>
    <row r="606" ht="15.75" customHeight="1">
      <c r="E606" s="80"/>
    </row>
    <row r="607" ht="15.75" customHeight="1">
      <c r="E607" s="80"/>
    </row>
    <row r="608" ht="15.75" customHeight="1">
      <c r="E608" s="80"/>
    </row>
    <row r="609" ht="15.75" customHeight="1">
      <c r="E609" s="80"/>
    </row>
    <row r="610" ht="15.75" customHeight="1">
      <c r="E610" s="80"/>
    </row>
    <row r="611" ht="15.75" customHeight="1">
      <c r="E611" s="80"/>
    </row>
    <row r="612" ht="15.75" customHeight="1">
      <c r="E612" s="80"/>
    </row>
    <row r="613" ht="15.75" customHeight="1">
      <c r="E613" s="80"/>
    </row>
    <row r="614" ht="15.75" customHeight="1">
      <c r="E614" s="80"/>
    </row>
    <row r="615" ht="15.75" customHeight="1">
      <c r="E615" s="80"/>
    </row>
    <row r="616" ht="15.75" customHeight="1">
      <c r="E616" s="80"/>
    </row>
    <row r="617" ht="15.75" customHeight="1">
      <c r="E617" s="80"/>
    </row>
    <row r="618" ht="15.75" customHeight="1">
      <c r="E618" s="80"/>
    </row>
    <row r="619" ht="15.75" customHeight="1">
      <c r="E619" s="80"/>
    </row>
    <row r="620" ht="15.75" customHeight="1">
      <c r="E620" s="80"/>
    </row>
    <row r="621" ht="15.75" customHeight="1">
      <c r="E621" s="80"/>
    </row>
    <row r="622" ht="15.75" customHeight="1">
      <c r="E622" s="80"/>
    </row>
    <row r="623" ht="15.75" customHeight="1">
      <c r="E623" s="80"/>
    </row>
    <row r="624" ht="15.75" customHeight="1">
      <c r="E624" s="80"/>
    </row>
    <row r="625" ht="15.75" customHeight="1">
      <c r="E625" s="80"/>
    </row>
    <row r="626" ht="15.75" customHeight="1">
      <c r="E626" s="80"/>
    </row>
    <row r="627" ht="15.75" customHeight="1">
      <c r="E627" s="80"/>
    </row>
    <row r="628" ht="15.75" customHeight="1">
      <c r="E628" s="80"/>
    </row>
    <row r="629" ht="15.75" customHeight="1">
      <c r="E629" s="80"/>
    </row>
    <row r="630" ht="15.75" customHeight="1">
      <c r="E630" s="80"/>
    </row>
    <row r="631" ht="15.75" customHeight="1">
      <c r="E631" s="80"/>
    </row>
    <row r="632" ht="15.75" customHeight="1">
      <c r="E632" s="80"/>
    </row>
    <row r="633" ht="15.75" customHeight="1">
      <c r="E633" s="80"/>
    </row>
    <row r="634" ht="15.75" customHeight="1">
      <c r="E634" s="80"/>
    </row>
    <row r="635" ht="15.75" customHeight="1">
      <c r="E635" s="80"/>
    </row>
    <row r="636" ht="15.75" customHeight="1">
      <c r="E636" s="80"/>
    </row>
    <row r="637" ht="15.75" customHeight="1">
      <c r="E637" s="80"/>
    </row>
    <row r="638" ht="15.75" customHeight="1">
      <c r="E638" s="80"/>
    </row>
    <row r="639" ht="15.75" customHeight="1">
      <c r="E639" s="80"/>
    </row>
    <row r="640" ht="15.75" customHeight="1">
      <c r="E640" s="80"/>
    </row>
    <row r="641" ht="15.75" customHeight="1">
      <c r="E641" s="80"/>
    </row>
    <row r="642" ht="15.75" customHeight="1">
      <c r="E642" s="80"/>
    </row>
    <row r="643" ht="15.75" customHeight="1">
      <c r="E643" s="80"/>
    </row>
    <row r="644" ht="15.75" customHeight="1">
      <c r="E644" s="80"/>
    </row>
    <row r="645" ht="15.75" customHeight="1">
      <c r="E645" s="80"/>
    </row>
    <row r="646" ht="15.75" customHeight="1">
      <c r="E646" s="80"/>
    </row>
    <row r="647" ht="15.75" customHeight="1">
      <c r="E647" s="80"/>
    </row>
    <row r="648" ht="15.75" customHeight="1">
      <c r="E648" s="80"/>
    </row>
    <row r="649" ht="15.75" customHeight="1">
      <c r="E649" s="80"/>
    </row>
    <row r="650" ht="15.75" customHeight="1">
      <c r="E650" s="80"/>
    </row>
    <row r="651" ht="15.75" customHeight="1">
      <c r="E651" s="80"/>
    </row>
    <row r="652" ht="15.75" customHeight="1">
      <c r="E652" s="80"/>
    </row>
    <row r="653" ht="15.75" customHeight="1">
      <c r="E653" s="80"/>
    </row>
    <row r="654" ht="15.75" customHeight="1">
      <c r="E654" s="80"/>
    </row>
    <row r="655" ht="15.75" customHeight="1">
      <c r="E655" s="80"/>
    </row>
    <row r="656" ht="15.75" customHeight="1">
      <c r="E656" s="80"/>
    </row>
    <row r="657" ht="15.75" customHeight="1">
      <c r="E657" s="80"/>
    </row>
    <row r="658" ht="15.75" customHeight="1">
      <c r="E658" s="80"/>
    </row>
    <row r="659" ht="15.75" customHeight="1">
      <c r="E659" s="80"/>
    </row>
    <row r="660" ht="15.75" customHeight="1">
      <c r="E660" s="80"/>
    </row>
    <row r="661" ht="15.75" customHeight="1">
      <c r="E661" s="80"/>
    </row>
    <row r="662" ht="15.75" customHeight="1">
      <c r="E662" s="80"/>
    </row>
    <row r="663" ht="15.75" customHeight="1">
      <c r="E663" s="80"/>
    </row>
    <row r="664" ht="15.75" customHeight="1">
      <c r="E664" s="80"/>
    </row>
    <row r="665" ht="15.75" customHeight="1">
      <c r="E665" s="80"/>
    </row>
    <row r="666" ht="15.75" customHeight="1">
      <c r="E666" s="80"/>
    </row>
    <row r="667" ht="15.75" customHeight="1">
      <c r="E667" s="80"/>
    </row>
    <row r="668" ht="15.75" customHeight="1">
      <c r="E668" s="80"/>
    </row>
    <row r="669" ht="15.75" customHeight="1">
      <c r="E669" s="80"/>
    </row>
    <row r="670" ht="15.75" customHeight="1">
      <c r="E670" s="80"/>
    </row>
    <row r="671" ht="15.75" customHeight="1">
      <c r="E671" s="80"/>
    </row>
    <row r="672" ht="15.75" customHeight="1">
      <c r="E672" s="80"/>
    </row>
    <row r="673" ht="15.75" customHeight="1">
      <c r="E673" s="80"/>
    </row>
    <row r="674" ht="15.75" customHeight="1">
      <c r="E674" s="80"/>
    </row>
    <row r="675" ht="15.75" customHeight="1">
      <c r="E675" s="80"/>
    </row>
    <row r="676" ht="15.75" customHeight="1">
      <c r="E676" s="80"/>
    </row>
    <row r="677" ht="15.75" customHeight="1">
      <c r="E677" s="80"/>
    </row>
    <row r="678" ht="15.75" customHeight="1">
      <c r="E678" s="80"/>
    </row>
    <row r="679" ht="15.75" customHeight="1">
      <c r="E679" s="80"/>
    </row>
    <row r="680" ht="15.75" customHeight="1">
      <c r="E680" s="80"/>
    </row>
    <row r="681" ht="15.75" customHeight="1">
      <c r="E681" s="80"/>
    </row>
    <row r="682" ht="15.75" customHeight="1">
      <c r="E682" s="80"/>
    </row>
    <row r="683" ht="15.75" customHeight="1">
      <c r="E683" s="80"/>
    </row>
    <row r="684" ht="15.75" customHeight="1">
      <c r="E684" s="80"/>
    </row>
    <row r="685" ht="15.75" customHeight="1">
      <c r="E685" s="80"/>
    </row>
    <row r="686" ht="15.75" customHeight="1">
      <c r="E686" s="80"/>
    </row>
    <row r="687" ht="15.75" customHeight="1">
      <c r="E687" s="80"/>
    </row>
    <row r="688" ht="15.75" customHeight="1">
      <c r="E688" s="80"/>
    </row>
    <row r="689" ht="15.75" customHeight="1">
      <c r="E689" s="80"/>
    </row>
    <row r="690" ht="15.75" customHeight="1">
      <c r="E690" s="80"/>
    </row>
    <row r="691" ht="15.75" customHeight="1">
      <c r="E691" s="80"/>
    </row>
    <row r="692" ht="15.75" customHeight="1">
      <c r="E692" s="80"/>
    </row>
    <row r="693" ht="15.75" customHeight="1">
      <c r="E693" s="80"/>
    </row>
    <row r="694" ht="15.75" customHeight="1">
      <c r="E694" s="80"/>
    </row>
    <row r="695" ht="15.75" customHeight="1">
      <c r="E695" s="80"/>
    </row>
    <row r="696" ht="15.75" customHeight="1">
      <c r="E696" s="80"/>
    </row>
    <row r="697" ht="15.75" customHeight="1">
      <c r="E697" s="80"/>
    </row>
    <row r="698" ht="15.75" customHeight="1">
      <c r="E698" s="80"/>
    </row>
    <row r="699" ht="15.75" customHeight="1">
      <c r="E699" s="80"/>
    </row>
    <row r="700" ht="15.75" customHeight="1">
      <c r="E700" s="80"/>
    </row>
    <row r="701" ht="15.75" customHeight="1">
      <c r="E701" s="80"/>
    </row>
    <row r="702" ht="15.75" customHeight="1">
      <c r="E702" s="80"/>
    </row>
    <row r="703" ht="15.75" customHeight="1">
      <c r="E703" s="80"/>
    </row>
    <row r="704" ht="15.75" customHeight="1">
      <c r="E704" s="80"/>
    </row>
    <row r="705" ht="15.75" customHeight="1">
      <c r="E705" s="80"/>
    </row>
    <row r="706" ht="15.75" customHeight="1">
      <c r="E706" s="80"/>
    </row>
    <row r="707" ht="15.75" customHeight="1">
      <c r="E707" s="80"/>
    </row>
    <row r="708" ht="15.75" customHeight="1">
      <c r="E708" s="80"/>
    </row>
    <row r="709" ht="15.75" customHeight="1">
      <c r="E709" s="80"/>
    </row>
    <row r="710" ht="15.75" customHeight="1">
      <c r="E710" s="80"/>
    </row>
    <row r="711" ht="15.75" customHeight="1">
      <c r="E711" s="80"/>
    </row>
    <row r="712" ht="15.75" customHeight="1">
      <c r="E712" s="80"/>
    </row>
    <row r="713" ht="15.75" customHeight="1">
      <c r="E713" s="80"/>
    </row>
    <row r="714" ht="15.75" customHeight="1">
      <c r="E714" s="80"/>
    </row>
    <row r="715" ht="15.75" customHeight="1">
      <c r="E715" s="80"/>
    </row>
    <row r="716" ht="15.75" customHeight="1">
      <c r="E716" s="80"/>
    </row>
    <row r="717" ht="15.75" customHeight="1">
      <c r="E717" s="80"/>
    </row>
    <row r="718" ht="15.75" customHeight="1">
      <c r="E718" s="80"/>
    </row>
    <row r="719" ht="15.75" customHeight="1">
      <c r="E719" s="80"/>
    </row>
    <row r="720" ht="15.75" customHeight="1">
      <c r="E720" s="80"/>
    </row>
    <row r="721" ht="15.75" customHeight="1">
      <c r="E721" s="80"/>
    </row>
    <row r="722" ht="15.75" customHeight="1">
      <c r="E722" s="80"/>
    </row>
    <row r="723" ht="15.75" customHeight="1">
      <c r="E723" s="80"/>
    </row>
    <row r="724" ht="15.75" customHeight="1">
      <c r="E724" s="80"/>
    </row>
    <row r="725" ht="15.75" customHeight="1">
      <c r="E725" s="80"/>
    </row>
    <row r="726" ht="15.75" customHeight="1">
      <c r="E726" s="80"/>
    </row>
    <row r="727" ht="15.75" customHeight="1">
      <c r="E727" s="80"/>
    </row>
    <row r="728" ht="15.75" customHeight="1">
      <c r="E728" s="80"/>
    </row>
    <row r="729" ht="15.75" customHeight="1">
      <c r="E729" s="80"/>
    </row>
    <row r="730" ht="15.75" customHeight="1">
      <c r="E730" s="80"/>
    </row>
    <row r="731" ht="15.75" customHeight="1">
      <c r="E731" s="80"/>
    </row>
    <row r="732" ht="15.75" customHeight="1">
      <c r="E732" s="80"/>
    </row>
    <row r="733" ht="15.75" customHeight="1">
      <c r="E733" s="80"/>
    </row>
    <row r="734" ht="15.75" customHeight="1">
      <c r="E734" s="80"/>
    </row>
    <row r="735" ht="15.75" customHeight="1">
      <c r="E735" s="80"/>
    </row>
    <row r="736" ht="15.75" customHeight="1">
      <c r="E736" s="80"/>
    </row>
    <row r="737" ht="15.75" customHeight="1">
      <c r="E737" s="80"/>
    </row>
    <row r="738" ht="15.75" customHeight="1">
      <c r="E738" s="80"/>
    </row>
    <row r="739" ht="15.75" customHeight="1">
      <c r="E739" s="80"/>
    </row>
    <row r="740" ht="15.75" customHeight="1">
      <c r="E740" s="80"/>
    </row>
    <row r="741" ht="15.75" customHeight="1">
      <c r="E741" s="80"/>
    </row>
    <row r="742" ht="15.75" customHeight="1">
      <c r="E742" s="80"/>
    </row>
    <row r="743" ht="15.75" customHeight="1">
      <c r="E743" s="80"/>
    </row>
    <row r="744" ht="15.75" customHeight="1">
      <c r="E744" s="80"/>
    </row>
    <row r="745" ht="15.75" customHeight="1">
      <c r="E745" s="80"/>
    </row>
    <row r="746" ht="15.75" customHeight="1">
      <c r="E746" s="80"/>
    </row>
    <row r="747" ht="15.75" customHeight="1">
      <c r="E747" s="80"/>
    </row>
    <row r="748" ht="15.75" customHeight="1">
      <c r="E748" s="80"/>
    </row>
    <row r="749" ht="15.75" customHeight="1">
      <c r="E749" s="80"/>
    </row>
    <row r="750" ht="15.75" customHeight="1">
      <c r="E750" s="80"/>
    </row>
    <row r="751" ht="15.75" customHeight="1">
      <c r="E751" s="80"/>
    </row>
    <row r="752" ht="15.75" customHeight="1">
      <c r="E752" s="80"/>
    </row>
    <row r="753" ht="15.75" customHeight="1">
      <c r="E753" s="80"/>
    </row>
    <row r="754" ht="15.75" customHeight="1">
      <c r="E754" s="80"/>
    </row>
    <row r="755" ht="15.75" customHeight="1">
      <c r="E755" s="80"/>
    </row>
    <row r="756" ht="15.75" customHeight="1">
      <c r="E756" s="80"/>
    </row>
    <row r="757" ht="15.75" customHeight="1">
      <c r="E757" s="80"/>
    </row>
    <row r="758" ht="15.75" customHeight="1">
      <c r="E758" s="80"/>
    </row>
    <row r="759" ht="15.75" customHeight="1">
      <c r="E759" s="80"/>
    </row>
    <row r="760" ht="15.75" customHeight="1">
      <c r="E760" s="80"/>
    </row>
    <row r="761" ht="15.75" customHeight="1">
      <c r="E761" s="80"/>
    </row>
    <row r="762" ht="15.75" customHeight="1">
      <c r="E762" s="80"/>
    </row>
    <row r="763" ht="15.75" customHeight="1">
      <c r="E763" s="80"/>
    </row>
    <row r="764" ht="15.75" customHeight="1">
      <c r="E764" s="80"/>
    </row>
    <row r="765" ht="15.75" customHeight="1">
      <c r="E765" s="80"/>
    </row>
    <row r="766" ht="15.75" customHeight="1">
      <c r="E766" s="80"/>
    </row>
    <row r="767" ht="15.75" customHeight="1">
      <c r="E767" s="80"/>
    </row>
    <row r="768" ht="15.75" customHeight="1">
      <c r="E768" s="80"/>
    </row>
    <row r="769" ht="15.75" customHeight="1">
      <c r="E769" s="80"/>
    </row>
    <row r="770" ht="15.75" customHeight="1">
      <c r="E770" s="80"/>
    </row>
    <row r="771" ht="15.75" customHeight="1">
      <c r="E771" s="80"/>
    </row>
    <row r="772" ht="15.75" customHeight="1">
      <c r="E772" s="80"/>
    </row>
    <row r="773" ht="15.75" customHeight="1">
      <c r="E773" s="80"/>
    </row>
    <row r="774" ht="15.75" customHeight="1">
      <c r="E774" s="80"/>
    </row>
    <row r="775" ht="15.75" customHeight="1">
      <c r="E775" s="80"/>
    </row>
    <row r="776" ht="15.75" customHeight="1">
      <c r="E776" s="80"/>
    </row>
    <row r="777" ht="15.75" customHeight="1">
      <c r="E777" s="80"/>
    </row>
    <row r="778" ht="15.75" customHeight="1">
      <c r="E778" s="80"/>
    </row>
    <row r="779" ht="15.75" customHeight="1">
      <c r="E779" s="80"/>
    </row>
    <row r="780" ht="15.75" customHeight="1">
      <c r="E780" s="80"/>
    </row>
    <row r="781" ht="15.75" customHeight="1">
      <c r="E781" s="80"/>
    </row>
    <row r="782" ht="15.75" customHeight="1">
      <c r="E782" s="80"/>
    </row>
    <row r="783" ht="15.75" customHeight="1">
      <c r="E783" s="80"/>
    </row>
    <row r="784" ht="15.75" customHeight="1">
      <c r="E784" s="80"/>
    </row>
    <row r="785" ht="15.75" customHeight="1">
      <c r="E785" s="80"/>
    </row>
    <row r="786" ht="15.75" customHeight="1">
      <c r="E786" s="80"/>
    </row>
    <row r="787" ht="15.75" customHeight="1">
      <c r="E787" s="80"/>
    </row>
    <row r="788" ht="15.75" customHeight="1">
      <c r="E788" s="80"/>
    </row>
    <row r="789" ht="15.75" customHeight="1">
      <c r="E789" s="80"/>
    </row>
    <row r="790" ht="15.75" customHeight="1">
      <c r="E790" s="80"/>
    </row>
    <row r="791" ht="15.75" customHeight="1">
      <c r="E791" s="80"/>
    </row>
    <row r="792" ht="15.75" customHeight="1">
      <c r="E792" s="80"/>
    </row>
    <row r="793" ht="15.75" customHeight="1">
      <c r="E793" s="80"/>
    </row>
    <row r="794" ht="15.75" customHeight="1">
      <c r="E794" s="80"/>
    </row>
    <row r="795" ht="15.75" customHeight="1">
      <c r="E795" s="80"/>
    </row>
    <row r="796" ht="15.75" customHeight="1">
      <c r="E796" s="80"/>
    </row>
    <row r="797" ht="15.75" customHeight="1">
      <c r="E797" s="80"/>
    </row>
    <row r="798" ht="15.75" customHeight="1">
      <c r="E798" s="80"/>
    </row>
    <row r="799" ht="15.75" customHeight="1">
      <c r="E799" s="80"/>
    </row>
    <row r="800" ht="15.75" customHeight="1">
      <c r="E800" s="80"/>
    </row>
    <row r="801" ht="15.75" customHeight="1">
      <c r="E801" s="80"/>
    </row>
    <row r="802" ht="15.75" customHeight="1">
      <c r="E802" s="80"/>
    </row>
    <row r="803" ht="15.75" customHeight="1">
      <c r="E803" s="80"/>
    </row>
    <row r="804" ht="15.75" customHeight="1">
      <c r="E804" s="80"/>
    </row>
    <row r="805" ht="15.75" customHeight="1">
      <c r="E805" s="80"/>
    </row>
    <row r="806" ht="15.75" customHeight="1">
      <c r="E806" s="80"/>
    </row>
    <row r="807" ht="15.75" customHeight="1">
      <c r="E807" s="80"/>
    </row>
    <row r="808" ht="15.75" customHeight="1">
      <c r="E808" s="80"/>
    </row>
    <row r="809" ht="15.75" customHeight="1">
      <c r="E809" s="80"/>
    </row>
    <row r="810" ht="15.75" customHeight="1">
      <c r="E810" s="80"/>
    </row>
    <row r="811" ht="15.75" customHeight="1">
      <c r="E811" s="80"/>
    </row>
    <row r="812" ht="15.75" customHeight="1">
      <c r="E812" s="80"/>
    </row>
    <row r="813" ht="15.75" customHeight="1">
      <c r="E813" s="80"/>
    </row>
    <row r="814" ht="15.75" customHeight="1">
      <c r="E814" s="80"/>
    </row>
    <row r="815" ht="15.75" customHeight="1">
      <c r="E815" s="80"/>
    </row>
    <row r="816" ht="15.75" customHeight="1">
      <c r="E816" s="80"/>
    </row>
    <row r="817" ht="15.75" customHeight="1">
      <c r="E817" s="80"/>
    </row>
    <row r="818" ht="15.75" customHeight="1">
      <c r="E818" s="80"/>
    </row>
    <row r="819" ht="15.75" customHeight="1">
      <c r="E819" s="80"/>
    </row>
    <row r="820" ht="15.75" customHeight="1">
      <c r="E820" s="80"/>
    </row>
    <row r="821" ht="15.75" customHeight="1">
      <c r="E821" s="80"/>
    </row>
    <row r="822" ht="15.75" customHeight="1">
      <c r="E822" s="80"/>
    </row>
    <row r="823" ht="15.75" customHeight="1">
      <c r="E823" s="80"/>
    </row>
    <row r="824" ht="15.75" customHeight="1">
      <c r="E824" s="80"/>
    </row>
    <row r="825" ht="15.75" customHeight="1">
      <c r="E825" s="80"/>
    </row>
    <row r="826" ht="15.75" customHeight="1">
      <c r="E826" s="80"/>
    </row>
    <row r="827" ht="15.75" customHeight="1">
      <c r="E827" s="80"/>
    </row>
    <row r="828" ht="15.75" customHeight="1">
      <c r="E828" s="80"/>
    </row>
    <row r="829" ht="15.75" customHeight="1">
      <c r="E829" s="80"/>
    </row>
    <row r="830" ht="15.75" customHeight="1">
      <c r="E830" s="80"/>
    </row>
    <row r="831" ht="15.75" customHeight="1">
      <c r="E831" s="80"/>
    </row>
    <row r="832" ht="15.75" customHeight="1">
      <c r="E832" s="80"/>
    </row>
    <row r="833" ht="15.75" customHeight="1">
      <c r="E833" s="80"/>
    </row>
    <row r="834" ht="15.75" customHeight="1">
      <c r="E834" s="80"/>
    </row>
    <row r="835" ht="15.75" customHeight="1">
      <c r="E835" s="80"/>
    </row>
    <row r="836" ht="15.75" customHeight="1">
      <c r="E836" s="80"/>
    </row>
    <row r="837" ht="15.75" customHeight="1">
      <c r="E837" s="80"/>
    </row>
    <row r="838" ht="15.75" customHeight="1">
      <c r="E838" s="80"/>
    </row>
    <row r="839" ht="15.75" customHeight="1">
      <c r="E839" s="80"/>
    </row>
    <row r="840" ht="15.75" customHeight="1">
      <c r="E840" s="80"/>
    </row>
    <row r="841" ht="15.75" customHeight="1">
      <c r="E841" s="80"/>
    </row>
    <row r="842" ht="15.75" customHeight="1">
      <c r="E842" s="80"/>
    </row>
    <row r="843" ht="15.75" customHeight="1">
      <c r="E843" s="80"/>
    </row>
    <row r="844" ht="15.75" customHeight="1">
      <c r="E844" s="80"/>
    </row>
    <row r="845" ht="15.75" customHeight="1">
      <c r="E845" s="80"/>
    </row>
    <row r="846" ht="15.75" customHeight="1">
      <c r="E846" s="80"/>
    </row>
    <row r="847" ht="15.75" customHeight="1">
      <c r="E847" s="80"/>
    </row>
    <row r="848" ht="15.75" customHeight="1">
      <c r="E848" s="80"/>
    </row>
    <row r="849" ht="15.75" customHeight="1">
      <c r="E849" s="80"/>
    </row>
    <row r="850" ht="15.75" customHeight="1">
      <c r="E850" s="80"/>
    </row>
    <row r="851" ht="15.75" customHeight="1">
      <c r="E851" s="80"/>
    </row>
    <row r="852" ht="15.75" customHeight="1">
      <c r="E852" s="80"/>
    </row>
    <row r="853" ht="15.75" customHeight="1">
      <c r="E853" s="80"/>
    </row>
    <row r="854" ht="15.75" customHeight="1">
      <c r="E854" s="80"/>
    </row>
    <row r="855" ht="15.75" customHeight="1">
      <c r="E855" s="80"/>
    </row>
    <row r="856" ht="15.75" customHeight="1">
      <c r="E856" s="80"/>
    </row>
    <row r="857" ht="15.75" customHeight="1">
      <c r="E857" s="80"/>
    </row>
    <row r="858" ht="15.75" customHeight="1">
      <c r="E858" s="80"/>
    </row>
    <row r="859" ht="15.75" customHeight="1">
      <c r="E859" s="80"/>
    </row>
    <row r="860" ht="15.75" customHeight="1">
      <c r="E860" s="80"/>
    </row>
    <row r="861" ht="15.75" customHeight="1">
      <c r="E861" s="80"/>
    </row>
    <row r="862" ht="15.75" customHeight="1">
      <c r="E862" s="80"/>
    </row>
    <row r="863" ht="15.75" customHeight="1">
      <c r="E863" s="80"/>
    </row>
    <row r="864" ht="15.75" customHeight="1">
      <c r="E864" s="80"/>
    </row>
    <row r="865" ht="15.75" customHeight="1">
      <c r="E865" s="80"/>
    </row>
    <row r="866" ht="15.75" customHeight="1">
      <c r="E866" s="80"/>
    </row>
    <row r="867" ht="15.75" customHeight="1">
      <c r="E867" s="80"/>
    </row>
    <row r="868" ht="15.75" customHeight="1">
      <c r="E868" s="80"/>
    </row>
    <row r="869" ht="15.75" customHeight="1">
      <c r="E869" s="80"/>
    </row>
    <row r="870" ht="15.75" customHeight="1">
      <c r="E870" s="80"/>
    </row>
    <row r="871" ht="15.75" customHeight="1">
      <c r="E871" s="80"/>
    </row>
    <row r="872" ht="15.75" customHeight="1">
      <c r="E872" s="80"/>
    </row>
    <row r="873" ht="15.75" customHeight="1">
      <c r="E873" s="80"/>
    </row>
    <row r="874" ht="15.75" customHeight="1">
      <c r="E874" s="80"/>
    </row>
    <row r="875" ht="15.75" customHeight="1">
      <c r="E875" s="80"/>
    </row>
    <row r="876" ht="15.75" customHeight="1">
      <c r="E876" s="80"/>
    </row>
    <row r="877" ht="15.75" customHeight="1">
      <c r="E877" s="80"/>
    </row>
    <row r="878" ht="15.75" customHeight="1">
      <c r="E878" s="80"/>
    </row>
    <row r="879" ht="15.75" customHeight="1">
      <c r="E879" s="80"/>
    </row>
    <row r="880" ht="15.75" customHeight="1">
      <c r="E880" s="80"/>
    </row>
    <row r="881" ht="15.75" customHeight="1">
      <c r="E881" s="80"/>
    </row>
    <row r="882" ht="15.75" customHeight="1">
      <c r="E882" s="80"/>
    </row>
    <row r="883" ht="15.75" customHeight="1">
      <c r="E883" s="80"/>
    </row>
    <row r="884" ht="15.75" customHeight="1">
      <c r="E884" s="80"/>
    </row>
    <row r="885" ht="15.75" customHeight="1">
      <c r="E885" s="80"/>
    </row>
    <row r="886" ht="15.75" customHeight="1">
      <c r="E886" s="80"/>
    </row>
    <row r="887" ht="15.75" customHeight="1">
      <c r="E887" s="80"/>
    </row>
    <row r="888" ht="15.75" customHeight="1">
      <c r="E888" s="80"/>
    </row>
    <row r="889" ht="15.75" customHeight="1">
      <c r="E889" s="80"/>
    </row>
    <row r="890" ht="15.75" customHeight="1">
      <c r="E890" s="80"/>
    </row>
    <row r="891" ht="15.75" customHeight="1">
      <c r="E891" s="80"/>
    </row>
    <row r="892" ht="15.75" customHeight="1">
      <c r="E892" s="80"/>
    </row>
    <row r="893" ht="15.75" customHeight="1">
      <c r="E893" s="80"/>
    </row>
    <row r="894" ht="15.75" customHeight="1">
      <c r="E894" s="80"/>
    </row>
    <row r="895" ht="15.75" customHeight="1">
      <c r="E895" s="80"/>
    </row>
    <row r="896" ht="15.75" customHeight="1">
      <c r="E896" s="80"/>
    </row>
    <row r="897" ht="15.75" customHeight="1">
      <c r="E897" s="80"/>
    </row>
    <row r="898" ht="15.75" customHeight="1">
      <c r="E898" s="80"/>
    </row>
    <row r="899" ht="15.75" customHeight="1">
      <c r="E899" s="80"/>
    </row>
    <row r="900" ht="15.75" customHeight="1">
      <c r="E900" s="80"/>
    </row>
    <row r="901" ht="15.75" customHeight="1">
      <c r="E901" s="80"/>
    </row>
    <row r="902" ht="15.75" customHeight="1">
      <c r="E902" s="80"/>
    </row>
    <row r="903" ht="15.75" customHeight="1">
      <c r="E903" s="80"/>
    </row>
    <row r="904" ht="15.75" customHeight="1">
      <c r="E904" s="80"/>
    </row>
    <row r="905" ht="15.75" customHeight="1">
      <c r="E905" s="80"/>
    </row>
    <row r="906" ht="15.75" customHeight="1">
      <c r="E906" s="80"/>
    </row>
    <row r="907" ht="15.75" customHeight="1">
      <c r="E907" s="80"/>
    </row>
    <row r="908" ht="15.75" customHeight="1">
      <c r="E908" s="80"/>
    </row>
    <row r="909" ht="15.75" customHeight="1">
      <c r="E909" s="80"/>
    </row>
    <row r="910" ht="15.75" customHeight="1">
      <c r="E910" s="80"/>
    </row>
    <row r="911" ht="15.75" customHeight="1">
      <c r="E911" s="80"/>
    </row>
    <row r="912" ht="15.75" customHeight="1">
      <c r="E912" s="80"/>
    </row>
    <row r="913" ht="15.75" customHeight="1">
      <c r="E913" s="80"/>
    </row>
    <row r="914" ht="15.75" customHeight="1">
      <c r="E914" s="80"/>
    </row>
    <row r="915" ht="15.75" customHeight="1">
      <c r="E915" s="80"/>
    </row>
    <row r="916" ht="15.75" customHeight="1">
      <c r="E916" s="80"/>
    </row>
    <row r="917" ht="15.75" customHeight="1">
      <c r="E917" s="80"/>
    </row>
    <row r="918" ht="15.75" customHeight="1">
      <c r="E918" s="80"/>
    </row>
    <row r="919" ht="15.75" customHeight="1">
      <c r="E919" s="80"/>
    </row>
    <row r="920" ht="15.75" customHeight="1">
      <c r="E920" s="80"/>
    </row>
    <row r="921" ht="15.75" customHeight="1">
      <c r="E921" s="80"/>
    </row>
    <row r="922" ht="15.75" customHeight="1">
      <c r="E922" s="80"/>
    </row>
    <row r="923" ht="15.75" customHeight="1">
      <c r="E923" s="80"/>
    </row>
    <row r="924" ht="15.75" customHeight="1">
      <c r="E924" s="80"/>
    </row>
    <row r="925" ht="15.75" customHeight="1">
      <c r="E925" s="80"/>
    </row>
    <row r="926" ht="15.75" customHeight="1">
      <c r="E926" s="80"/>
    </row>
    <row r="927" ht="15.75" customHeight="1">
      <c r="E927" s="80"/>
    </row>
    <row r="928" ht="15.75" customHeight="1">
      <c r="E928" s="80"/>
    </row>
    <row r="929" ht="15.75" customHeight="1">
      <c r="E929" s="80"/>
    </row>
    <row r="930" ht="15.75" customHeight="1">
      <c r="E930" s="80"/>
    </row>
    <row r="931" ht="15.75" customHeight="1">
      <c r="E931" s="80"/>
    </row>
    <row r="932" ht="15.75" customHeight="1">
      <c r="E932" s="80"/>
    </row>
    <row r="933" ht="15.75" customHeight="1">
      <c r="E933" s="80"/>
    </row>
    <row r="934" ht="15.75" customHeight="1">
      <c r="E934" s="80"/>
    </row>
    <row r="935" ht="15.75" customHeight="1">
      <c r="E935" s="80"/>
    </row>
    <row r="936" ht="15.75" customHeight="1">
      <c r="E936" s="80"/>
    </row>
    <row r="937" ht="15.75" customHeight="1">
      <c r="E937" s="80"/>
    </row>
    <row r="938" ht="15.75" customHeight="1">
      <c r="E938" s="80"/>
    </row>
    <row r="939" ht="15.75" customHeight="1">
      <c r="E939" s="80"/>
    </row>
    <row r="940" ht="15.75" customHeight="1">
      <c r="E940" s="80"/>
    </row>
    <row r="941" ht="15.75" customHeight="1">
      <c r="E941" s="80"/>
    </row>
    <row r="942" ht="15.75" customHeight="1">
      <c r="E942" s="80"/>
    </row>
    <row r="943" ht="15.75" customHeight="1">
      <c r="E943" s="80"/>
    </row>
    <row r="944" ht="15.75" customHeight="1">
      <c r="E944" s="80"/>
    </row>
    <row r="945" ht="15.75" customHeight="1">
      <c r="E945" s="80"/>
    </row>
    <row r="946" ht="15.75" customHeight="1">
      <c r="E946" s="80"/>
    </row>
    <row r="947" ht="15.75" customHeight="1">
      <c r="E947" s="80"/>
    </row>
    <row r="948" ht="15.75" customHeight="1">
      <c r="E948" s="80"/>
    </row>
    <row r="949" ht="15.75" customHeight="1">
      <c r="E949" s="80"/>
    </row>
    <row r="950" ht="15.75" customHeight="1">
      <c r="E950" s="80"/>
    </row>
    <row r="951" ht="15.75" customHeight="1">
      <c r="E951" s="80"/>
    </row>
    <row r="952" ht="15.75" customHeight="1">
      <c r="E952" s="80"/>
    </row>
    <row r="953" ht="15.75" customHeight="1">
      <c r="E953" s="80"/>
    </row>
    <row r="954" ht="15.75" customHeight="1">
      <c r="E954" s="80"/>
    </row>
    <row r="955" ht="15.75" customHeight="1">
      <c r="E955" s="80"/>
    </row>
    <row r="956" ht="15.75" customHeight="1">
      <c r="E956" s="80"/>
    </row>
    <row r="957" ht="15.75" customHeight="1">
      <c r="E957" s="80"/>
    </row>
    <row r="958" ht="15.75" customHeight="1">
      <c r="E958" s="80"/>
    </row>
    <row r="959" ht="15.75" customHeight="1">
      <c r="E959" s="80"/>
    </row>
    <row r="960" ht="15.75" customHeight="1">
      <c r="E960" s="80"/>
    </row>
    <row r="961" ht="15.75" customHeight="1">
      <c r="E961" s="80"/>
    </row>
    <row r="962" ht="15.75" customHeight="1">
      <c r="E962" s="80"/>
    </row>
    <row r="963" ht="15.75" customHeight="1">
      <c r="E963" s="80"/>
    </row>
    <row r="964" ht="15.75" customHeight="1">
      <c r="E964" s="80"/>
    </row>
    <row r="965" ht="15.75" customHeight="1">
      <c r="E965" s="80"/>
    </row>
    <row r="966" ht="15.75" customHeight="1">
      <c r="E966" s="80"/>
    </row>
    <row r="967" ht="15.75" customHeight="1">
      <c r="E967" s="80"/>
    </row>
    <row r="968" ht="15.75" customHeight="1">
      <c r="E968" s="80"/>
    </row>
    <row r="969" ht="15.75" customHeight="1">
      <c r="E969" s="80"/>
    </row>
    <row r="970" ht="15.75" customHeight="1">
      <c r="E970" s="80"/>
    </row>
    <row r="971" ht="15.75" customHeight="1">
      <c r="E971" s="80"/>
    </row>
    <row r="972" ht="15.75" customHeight="1">
      <c r="E972" s="80"/>
    </row>
    <row r="973" ht="15.75" customHeight="1">
      <c r="E973" s="80"/>
    </row>
    <row r="974" ht="15.75" customHeight="1">
      <c r="E974" s="80"/>
    </row>
    <row r="975" ht="15.75" customHeight="1">
      <c r="E975" s="80"/>
    </row>
    <row r="976" ht="15.75" customHeight="1">
      <c r="E976" s="80"/>
    </row>
    <row r="977" ht="15.75" customHeight="1">
      <c r="E977" s="80"/>
    </row>
    <row r="978" ht="15.75" customHeight="1">
      <c r="E978" s="80"/>
    </row>
    <row r="979" ht="15.75" customHeight="1">
      <c r="E979" s="80"/>
    </row>
    <row r="980" ht="15.75" customHeight="1">
      <c r="E980" s="80"/>
    </row>
    <row r="981" ht="15.75" customHeight="1">
      <c r="E981" s="80"/>
    </row>
    <row r="982" ht="15.75" customHeight="1">
      <c r="E982" s="80"/>
    </row>
    <row r="983" ht="15.75" customHeight="1">
      <c r="E983" s="80"/>
    </row>
    <row r="984" ht="15.75" customHeight="1">
      <c r="E984" s="80"/>
    </row>
    <row r="985" ht="15.75" customHeight="1">
      <c r="E985" s="80"/>
    </row>
    <row r="986" ht="15.75" customHeight="1">
      <c r="E986" s="80"/>
    </row>
    <row r="987" ht="15.75" customHeight="1">
      <c r="E987" s="80"/>
    </row>
    <row r="988" ht="15.75" customHeight="1">
      <c r="E988" s="80"/>
    </row>
    <row r="989" ht="15.75" customHeight="1">
      <c r="E989" s="80"/>
    </row>
    <row r="990" ht="15.75" customHeight="1">
      <c r="E990" s="80"/>
    </row>
    <row r="991" ht="15.75" customHeight="1">
      <c r="E991" s="80"/>
    </row>
    <row r="992" ht="15.75" customHeight="1">
      <c r="E992" s="80"/>
    </row>
    <row r="993" ht="15.75" customHeight="1">
      <c r="E993" s="80"/>
    </row>
    <row r="994" ht="15.75" customHeight="1">
      <c r="E994" s="80"/>
    </row>
    <row r="995" ht="15.75" customHeight="1">
      <c r="E995" s="80"/>
    </row>
    <row r="996" ht="15.75" customHeight="1">
      <c r="E996" s="80"/>
    </row>
    <row r="997" ht="15.75" customHeight="1">
      <c r="E997" s="80"/>
    </row>
    <row r="998" ht="15.75" customHeight="1">
      <c r="E998" s="80"/>
    </row>
    <row r="999" ht="15.75" customHeight="1">
      <c r="E999" s="80"/>
    </row>
    <row r="1000" ht="15.75" customHeight="1">
      <c r="E1000" s="80"/>
    </row>
    <row r="1001" ht="15.75" customHeight="1">
      <c r="E1001" s="80"/>
    </row>
    <row r="1002" ht="15.75" customHeight="1">
      <c r="E1002" s="80"/>
    </row>
    <row r="1003" ht="15.75" customHeight="1">
      <c r="E1003" s="80"/>
    </row>
    <row r="1004" ht="15.75" customHeight="1">
      <c r="E1004" s="80"/>
    </row>
    <row r="1005" ht="15.75" customHeight="1">
      <c r="E1005" s="80"/>
    </row>
    <row r="1006" ht="15.75" customHeight="1">
      <c r="E1006" s="80"/>
    </row>
    <row r="1007" ht="15.75" customHeight="1">
      <c r="E1007" s="80"/>
    </row>
    <row r="1008" ht="15.75" customHeight="1">
      <c r="E1008" s="80"/>
    </row>
    <row r="1009" ht="15.75" customHeight="1">
      <c r="E1009" s="80"/>
    </row>
    <row r="1010" ht="15.75" customHeight="1">
      <c r="E1010" s="80"/>
    </row>
    <row r="1011" ht="15.75" customHeight="1">
      <c r="E1011" s="80"/>
    </row>
    <row r="1012" ht="15.75" customHeight="1">
      <c r="E1012" s="80"/>
    </row>
    <row r="1013" ht="15.75" customHeight="1">
      <c r="E1013" s="80"/>
    </row>
    <row r="1014" ht="15.75" customHeight="1">
      <c r="E1014" s="80"/>
    </row>
    <row r="1015" ht="15.75" customHeight="1">
      <c r="E1015" s="80"/>
    </row>
    <row r="1016" ht="15.75" customHeight="1">
      <c r="E1016" s="80"/>
    </row>
    <row r="1017" ht="15.75" customHeight="1">
      <c r="E1017" s="80"/>
    </row>
    <row r="1018" ht="15.75" customHeight="1">
      <c r="E1018" s="80"/>
    </row>
    <row r="1019" ht="15.75" customHeight="1">
      <c r="E1019" s="80"/>
    </row>
    <row r="1020" ht="15.75" customHeight="1">
      <c r="E1020" s="80"/>
    </row>
    <row r="1021" ht="15.75" customHeight="1">
      <c r="E1021" s="80"/>
    </row>
    <row r="1022" ht="15.75" customHeight="1">
      <c r="E1022" s="80"/>
    </row>
  </sheetData>
  <customSheetViews>
    <customSheetView guid="{294B39CD-3B3E-4289-BEA6-555683A54926}" filter="1" showAutoFilter="1">
      <autoFilter ref="$A$6:$H$91"/>
    </customSheetView>
  </customSheetViews>
  <conditionalFormatting sqref="G7:G91">
    <cfRule type="containsText" dxfId="5" priority="1" operator="containsText" text="미정">
      <formula>NOT(ISERROR(SEARCH(("미정"),(G7))))</formula>
    </cfRule>
  </conditionalFormatting>
  <conditionalFormatting sqref="H7:H91">
    <cfRule type="containsText" dxfId="5" priority="2" operator="containsText" text="제안">
      <formula>NOT(ISERROR(SEARCH(("제안"),(H7))))</formula>
    </cfRule>
  </conditionalFormatting>
  <dataValidations>
    <dataValidation type="list" allowBlank="1" sqref="G7:G91">
      <formula1>"P1 ,P2 ,P3,미정"</formula1>
    </dataValidation>
    <dataValidation type="list" allowBlank="1" sqref="H7:H91">
      <formula1>"팀 검토 전,추가 제안 · 검토 전,보완 제안 · 검토 전,검토 중,확정,보류"</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AC66"/>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2.25"/>
    <col customWidth="1" min="2" max="2" width="25.5"/>
    <col customWidth="1" min="3" max="3" width="91.13"/>
    <col customWidth="1" min="4" max="4" width="29.5"/>
    <col customWidth="1" min="5" max="26" width="8.63"/>
  </cols>
  <sheetData>
    <row r="1" ht="9.0" customHeight="1">
      <c r="A1" s="1"/>
      <c r="B1" s="1"/>
      <c r="C1" s="1"/>
      <c r="D1" s="1"/>
    </row>
    <row r="2" ht="24.0" customHeight="1">
      <c r="A2" s="3" t="s">
        <v>0</v>
      </c>
      <c r="B2" s="5"/>
      <c r="C2" s="5"/>
      <c r="D2" s="5"/>
    </row>
    <row r="3" ht="18.75" customHeight="1">
      <c r="A3" s="7" t="s">
        <v>3</v>
      </c>
      <c r="B3" s="1"/>
      <c r="C3" s="1"/>
      <c r="D3" s="1"/>
    </row>
    <row r="4" ht="22.5" customHeight="1">
      <c r="A4" s="7" t="s">
        <v>5</v>
      </c>
      <c r="B4" s="7" t="s">
        <v>6</v>
      </c>
      <c r="C4" s="7" t="s">
        <v>7</v>
      </c>
      <c r="D4" s="7"/>
    </row>
    <row r="5" ht="9.0" customHeight="1">
      <c r="A5" s="1"/>
      <c r="B5" s="1"/>
      <c r="C5" s="1"/>
      <c r="D5" s="1"/>
    </row>
    <row r="6" ht="28.5" customHeight="1">
      <c r="A6" s="11" t="s">
        <v>9</v>
      </c>
      <c r="B6" s="11" t="s">
        <v>12</v>
      </c>
      <c r="C6" s="11" t="s">
        <v>14</v>
      </c>
      <c r="D6" s="11" t="s">
        <v>15</v>
      </c>
    </row>
    <row r="7" ht="49.5" customHeight="1">
      <c r="A7" s="13" t="s">
        <v>17</v>
      </c>
      <c r="B7" s="14" t="s">
        <v>18</v>
      </c>
      <c r="C7" s="14" t="s">
        <v>20</v>
      </c>
      <c r="D7" s="14" t="s">
        <v>22</v>
      </c>
    </row>
    <row r="8" ht="49.5" customHeight="1">
      <c r="A8" s="16" t="s">
        <v>26</v>
      </c>
      <c r="B8" s="18" t="s">
        <v>28</v>
      </c>
      <c r="C8" s="18" t="s">
        <v>31</v>
      </c>
      <c r="D8" s="18" t="s">
        <v>34</v>
      </c>
    </row>
    <row r="9" ht="49.5" customHeight="1">
      <c r="A9" s="16" t="s">
        <v>33</v>
      </c>
      <c r="B9" s="18" t="s">
        <v>36</v>
      </c>
      <c r="C9" s="18" t="s">
        <v>38</v>
      </c>
      <c r="D9" s="18" t="s">
        <v>40</v>
      </c>
    </row>
    <row r="10" ht="49.5" customHeight="1">
      <c r="A10" s="16" t="s">
        <v>44</v>
      </c>
      <c r="B10" s="18" t="s">
        <v>46</v>
      </c>
      <c r="C10" s="18" t="s">
        <v>48</v>
      </c>
      <c r="D10" s="18" t="s">
        <v>34</v>
      </c>
    </row>
    <row r="11" ht="49.5" customHeight="1">
      <c r="A11" s="16" t="s">
        <v>51</v>
      </c>
      <c r="B11" s="18" t="s">
        <v>52</v>
      </c>
      <c r="C11" s="18" t="s">
        <v>53</v>
      </c>
      <c r="D11" s="18" t="s">
        <v>42</v>
      </c>
    </row>
    <row r="12" ht="49.5" customHeight="1">
      <c r="A12" s="16" t="s">
        <v>57</v>
      </c>
      <c r="B12" s="18" t="s">
        <v>59</v>
      </c>
      <c r="C12" s="18" t="s">
        <v>63</v>
      </c>
      <c r="D12" s="18" t="s">
        <v>65</v>
      </c>
    </row>
    <row r="13" ht="49.5" customHeight="1">
      <c r="A13" s="16" t="s">
        <v>67</v>
      </c>
      <c r="B13" s="18" t="s">
        <v>69</v>
      </c>
      <c r="C13" s="18" t="s">
        <v>71</v>
      </c>
      <c r="D13" s="18" t="s">
        <v>73</v>
      </c>
    </row>
    <row r="14" ht="49.5" customHeight="1">
      <c r="A14" s="16" t="s">
        <v>75</v>
      </c>
      <c r="B14" s="18" t="s">
        <v>76</v>
      </c>
      <c r="C14" s="18" t="s">
        <v>78</v>
      </c>
      <c r="D14" s="18" t="s">
        <v>79</v>
      </c>
    </row>
    <row r="15" ht="49.5" customHeight="1">
      <c r="A15" s="16" t="s">
        <v>81</v>
      </c>
      <c r="B15" s="18" t="s">
        <v>83</v>
      </c>
      <c r="C15" s="18" t="s">
        <v>84</v>
      </c>
      <c r="D15" s="18" t="s">
        <v>42</v>
      </c>
    </row>
    <row r="16" ht="49.5" customHeight="1">
      <c r="A16" s="16" t="s">
        <v>88</v>
      </c>
      <c r="B16" s="18" t="s">
        <v>90</v>
      </c>
      <c r="C16" s="18" t="s">
        <v>92</v>
      </c>
      <c r="D16" s="18" t="s">
        <v>94</v>
      </c>
    </row>
    <row r="17" ht="49.5" customHeight="1">
      <c r="A17" s="16" t="s">
        <v>95</v>
      </c>
      <c r="B17" s="18" t="s">
        <v>98</v>
      </c>
      <c r="C17" s="18" t="s">
        <v>100</v>
      </c>
      <c r="D17" s="18" t="s">
        <v>102</v>
      </c>
    </row>
    <row r="18" ht="49.5" customHeight="1">
      <c r="A18" s="16" t="s">
        <v>104</v>
      </c>
      <c r="B18" s="18" t="s">
        <v>105</v>
      </c>
      <c r="C18" s="18" t="s">
        <v>106</v>
      </c>
      <c r="D18" s="18" t="s">
        <v>86</v>
      </c>
    </row>
    <row r="19" ht="49.5" customHeight="1">
      <c r="A19" s="16" t="s">
        <v>109</v>
      </c>
      <c r="B19" s="18" t="s">
        <v>111</v>
      </c>
      <c r="C19" s="18" t="s">
        <v>113</v>
      </c>
      <c r="D19" s="18" t="s">
        <v>86</v>
      </c>
    </row>
    <row r="20" ht="49.5" customHeight="1">
      <c r="A20" s="16" t="s">
        <v>114</v>
      </c>
      <c r="B20" s="18" t="s">
        <v>116</v>
      </c>
      <c r="C20" s="18" t="s">
        <v>119</v>
      </c>
      <c r="D20" s="18" t="s">
        <v>86</v>
      </c>
    </row>
    <row r="21" ht="49.5" customHeight="1">
      <c r="A21" s="16" t="s">
        <v>123</v>
      </c>
      <c r="B21" s="18" t="s">
        <v>124</v>
      </c>
      <c r="C21" s="18" t="s">
        <v>125</v>
      </c>
      <c r="D21" s="18" t="s">
        <v>126</v>
      </c>
    </row>
    <row r="22" ht="49.5" customHeight="1">
      <c r="A22" s="16" t="s">
        <v>112</v>
      </c>
      <c r="B22" s="18" t="s">
        <v>127</v>
      </c>
      <c r="C22" s="18" t="s">
        <v>129</v>
      </c>
      <c r="D22" s="18" t="s">
        <v>130</v>
      </c>
    </row>
    <row r="23" ht="49.5" customHeight="1">
      <c r="A23" s="16" t="s">
        <v>133</v>
      </c>
      <c r="B23" s="18" t="s">
        <v>136</v>
      </c>
      <c r="C23" s="18" t="s">
        <v>139</v>
      </c>
      <c r="D23" s="18" t="s">
        <v>115</v>
      </c>
    </row>
    <row r="24" ht="49.5" customHeight="1">
      <c r="A24" s="16" t="s">
        <v>141</v>
      </c>
      <c r="B24" s="18" t="s">
        <v>143</v>
      </c>
      <c r="C24" s="18" t="s">
        <v>145</v>
      </c>
      <c r="D24" s="18" t="s">
        <v>128</v>
      </c>
    </row>
    <row r="25" ht="49.5" customHeight="1">
      <c r="A25" s="16" t="s">
        <v>147</v>
      </c>
      <c r="B25" s="18" t="s">
        <v>148</v>
      </c>
      <c r="C25" s="18" t="s">
        <v>150</v>
      </c>
      <c r="D25" s="18" t="s">
        <v>128</v>
      </c>
    </row>
    <row r="26" ht="49.5" customHeight="1">
      <c r="A26" s="16" t="s">
        <v>154</v>
      </c>
      <c r="B26" s="18" t="s">
        <v>156</v>
      </c>
      <c r="C26" s="18" t="s">
        <v>157</v>
      </c>
      <c r="D26" s="18" t="s">
        <v>140</v>
      </c>
    </row>
    <row r="27" ht="49.5" customHeight="1">
      <c r="A27" s="16" t="s">
        <v>160</v>
      </c>
      <c r="B27" s="18" t="s">
        <v>162</v>
      </c>
      <c r="C27" s="18" t="s">
        <v>164</v>
      </c>
      <c r="D27" s="18" t="s">
        <v>65</v>
      </c>
    </row>
    <row r="28" ht="49.5" customHeight="1">
      <c r="A28" s="16" t="s">
        <v>166</v>
      </c>
      <c r="B28" s="18" t="s">
        <v>169</v>
      </c>
      <c r="C28" s="18" t="s">
        <v>171</v>
      </c>
      <c r="D28" s="18" t="s">
        <v>140</v>
      </c>
    </row>
    <row r="29" ht="49.5" customHeight="1">
      <c r="A29" s="16" t="s">
        <v>174</v>
      </c>
      <c r="B29" s="18" t="s">
        <v>175</v>
      </c>
      <c r="C29" s="18" t="s">
        <v>176</v>
      </c>
      <c r="D29" s="18" t="s">
        <v>140</v>
      </c>
    </row>
    <row r="30" ht="49.5" customHeight="1">
      <c r="A30" s="16" t="s">
        <v>179</v>
      </c>
      <c r="B30" s="18" t="s">
        <v>180</v>
      </c>
      <c r="C30" s="18" t="s">
        <v>182</v>
      </c>
      <c r="D30" s="18" t="s">
        <v>140</v>
      </c>
    </row>
    <row r="31" ht="49.5" customHeight="1">
      <c r="A31" s="16" t="s">
        <v>186</v>
      </c>
      <c r="B31" s="18" t="s">
        <v>187</v>
      </c>
      <c r="C31" s="18" t="s">
        <v>189</v>
      </c>
      <c r="D31" s="18" t="s">
        <v>140</v>
      </c>
    </row>
    <row r="32" ht="49.5" customHeight="1">
      <c r="A32" s="16" t="s">
        <v>191</v>
      </c>
      <c r="B32" s="18" t="s">
        <v>193</v>
      </c>
      <c r="C32" s="18" t="s">
        <v>195</v>
      </c>
      <c r="D32" s="18" t="s">
        <v>140</v>
      </c>
    </row>
    <row r="33" ht="49.5" customHeight="1">
      <c r="A33" s="16" t="s">
        <v>196</v>
      </c>
      <c r="B33" s="18" t="s">
        <v>197</v>
      </c>
      <c r="C33" s="18" t="s">
        <v>200</v>
      </c>
      <c r="D33" s="18" t="s">
        <v>158</v>
      </c>
    </row>
    <row r="34" ht="49.5" customHeight="1">
      <c r="A34" s="16" t="s">
        <v>202</v>
      </c>
      <c r="B34" s="18" t="s">
        <v>205</v>
      </c>
      <c r="C34" s="18" t="s">
        <v>210</v>
      </c>
      <c r="D34" s="18" t="s">
        <v>126</v>
      </c>
    </row>
    <row r="35" ht="49.5" customHeight="1">
      <c r="A35" s="16" t="s">
        <v>220</v>
      </c>
      <c r="B35" s="18" t="s">
        <v>222</v>
      </c>
      <c r="C35" s="18" t="s">
        <v>223</v>
      </c>
      <c r="D35" s="18" t="s">
        <v>224</v>
      </c>
    </row>
    <row r="36" ht="49.5" customHeight="1">
      <c r="A36" s="16" t="s">
        <v>225</v>
      </c>
      <c r="B36" s="18" t="s">
        <v>226</v>
      </c>
      <c r="C36" s="18" t="s">
        <v>227</v>
      </c>
      <c r="D36" s="18" t="s">
        <v>224</v>
      </c>
    </row>
    <row r="37" ht="49.5" customHeight="1">
      <c r="A37" s="16" t="s">
        <v>228</v>
      </c>
      <c r="B37" s="18" t="s">
        <v>230</v>
      </c>
      <c r="C37" s="18" t="s">
        <v>232</v>
      </c>
      <c r="D37" s="18" t="s">
        <v>233</v>
      </c>
    </row>
    <row r="38" ht="49.5" customHeight="1">
      <c r="A38" s="16" t="s">
        <v>234</v>
      </c>
      <c r="B38" s="18" t="s">
        <v>235</v>
      </c>
      <c r="C38" s="18" t="s">
        <v>236</v>
      </c>
      <c r="D38" s="18" t="s">
        <v>158</v>
      </c>
    </row>
    <row r="39" ht="49.5" customHeight="1">
      <c r="A39" s="16" t="s">
        <v>238</v>
      </c>
      <c r="B39" s="18" t="s">
        <v>240</v>
      </c>
      <c r="C39" s="18" t="s">
        <v>241</v>
      </c>
      <c r="D39" s="18" t="s">
        <v>242</v>
      </c>
    </row>
    <row r="40" ht="49.5" customHeight="1">
      <c r="A40" s="16" t="s">
        <v>243</v>
      </c>
      <c r="B40" s="18" t="s">
        <v>244</v>
      </c>
      <c r="C40" s="18" t="s">
        <v>245</v>
      </c>
      <c r="D40" s="18" t="s">
        <v>246</v>
      </c>
    </row>
    <row r="41" ht="49.5" customHeight="1">
      <c r="A41" s="16" t="s">
        <v>248</v>
      </c>
      <c r="B41" s="18" t="s">
        <v>250</v>
      </c>
      <c r="C41" s="18" t="s">
        <v>251</v>
      </c>
      <c r="D41" s="18" t="s">
        <v>233</v>
      </c>
    </row>
    <row r="42" ht="49.5" customHeight="1">
      <c r="A42" s="16" t="s">
        <v>252</v>
      </c>
      <c r="B42" s="18" t="s">
        <v>253</v>
      </c>
      <c r="C42" s="18" t="s">
        <v>254</v>
      </c>
      <c r="D42" s="18" t="s">
        <v>255</v>
      </c>
    </row>
    <row r="43" ht="49.5" customHeight="1">
      <c r="A43" s="16" t="s">
        <v>256</v>
      </c>
      <c r="B43" s="18" t="s">
        <v>257</v>
      </c>
      <c r="C43" s="18" t="s">
        <v>258</v>
      </c>
      <c r="D43" s="18" t="s">
        <v>242</v>
      </c>
    </row>
    <row r="44" ht="49.5" customHeight="1">
      <c r="A44" s="16" t="s">
        <v>260</v>
      </c>
      <c r="B44" s="18" t="s">
        <v>262</v>
      </c>
      <c r="C44" s="18" t="s">
        <v>263</v>
      </c>
      <c r="D44" s="18" t="s">
        <v>158</v>
      </c>
    </row>
    <row r="45" ht="49.5" customHeight="1">
      <c r="A45" s="16" t="s">
        <v>265</v>
      </c>
      <c r="B45" s="18" t="s">
        <v>267</v>
      </c>
      <c r="C45" s="18" t="s">
        <v>268</v>
      </c>
      <c r="D45" s="18" t="s">
        <v>158</v>
      </c>
    </row>
    <row r="46" ht="49.5" customHeight="1">
      <c r="A46" s="16" t="s">
        <v>269</v>
      </c>
      <c r="B46" s="18" t="s">
        <v>270</v>
      </c>
      <c r="C46" s="18" t="s">
        <v>271</v>
      </c>
      <c r="D46" s="18" t="s">
        <v>102</v>
      </c>
    </row>
    <row r="47" ht="49.5" customHeight="1">
      <c r="A47" s="16" t="s">
        <v>272</v>
      </c>
      <c r="B47" s="18" t="s">
        <v>273</v>
      </c>
      <c r="C47" s="18" t="s">
        <v>274</v>
      </c>
      <c r="D47" s="18" t="s">
        <v>177</v>
      </c>
    </row>
    <row r="48" ht="49.5" customHeight="1">
      <c r="A48" s="16" t="s">
        <v>204</v>
      </c>
      <c r="B48" s="18" t="s">
        <v>206</v>
      </c>
      <c r="C48" s="18" t="s">
        <v>276</v>
      </c>
      <c r="D48" s="18" t="s">
        <v>278</v>
      </c>
    </row>
    <row r="49" ht="49.5" customHeight="1">
      <c r="A49" s="16" t="s">
        <v>212</v>
      </c>
      <c r="B49" s="18" t="s">
        <v>213</v>
      </c>
      <c r="C49" s="18" t="s">
        <v>280</v>
      </c>
      <c r="D49" s="18" t="s">
        <v>281</v>
      </c>
    </row>
    <row r="50" ht="49.5" customHeight="1">
      <c r="A50" s="16" t="s">
        <v>217</v>
      </c>
      <c r="B50" s="18" t="s">
        <v>218</v>
      </c>
      <c r="C50" s="18" t="s">
        <v>282</v>
      </c>
      <c r="D50" s="18" t="s">
        <v>283</v>
      </c>
    </row>
    <row r="51" ht="49.5" customHeight="1">
      <c r="A51" s="16" t="s">
        <v>284</v>
      </c>
      <c r="B51" s="18" t="s">
        <v>286</v>
      </c>
      <c r="C51" s="18" t="s">
        <v>288</v>
      </c>
      <c r="D51" s="18" t="s">
        <v>289</v>
      </c>
    </row>
    <row r="52" ht="49.5" customHeight="1">
      <c r="A52" s="16" t="s">
        <v>290</v>
      </c>
      <c r="B52" s="18" t="s">
        <v>291</v>
      </c>
      <c r="C52" s="18" t="s">
        <v>292</v>
      </c>
      <c r="D52" s="18" t="s">
        <v>86</v>
      </c>
    </row>
    <row r="53" ht="49.5" customHeight="1">
      <c r="A53" s="16" t="s">
        <v>293</v>
      </c>
      <c r="B53" s="18" t="s">
        <v>294</v>
      </c>
      <c r="C53" s="18" t="s">
        <v>295</v>
      </c>
      <c r="D53" s="18" t="s">
        <v>296</v>
      </c>
    </row>
    <row r="54" ht="49.5" customHeight="1">
      <c r="A54" s="16" t="s">
        <v>297</v>
      </c>
      <c r="B54" s="18" t="s">
        <v>299</v>
      </c>
      <c r="C54" s="18" t="s">
        <v>300</v>
      </c>
      <c r="D54" s="18" t="s">
        <v>302</v>
      </c>
    </row>
    <row r="55" ht="49.5" customHeight="1">
      <c r="A55" s="16" t="s">
        <v>303</v>
      </c>
      <c r="B55" s="18" t="s">
        <v>304</v>
      </c>
      <c r="C55" s="18" t="s">
        <v>305</v>
      </c>
      <c r="D55" s="18" t="s">
        <v>233</v>
      </c>
    </row>
    <row r="56" ht="49.5" customHeight="1">
      <c r="A56" s="16" t="s">
        <v>306</v>
      </c>
      <c r="B56" s="18" t="s">
        <v>308</v>
      </c>
      <c r="C56" s="18" t="s">
        <v>309</v>
      </c>
      <c r="D56" s="18" t="s">
        <v>34</v>
      </c>
    </row>
    <row r="57" ht="49.5" customHeight="1">
      <c r="A57" s="16" t="s">
        <v>310</v>
      </c>
      <c r="B57" s="18" t="s">
        <v>311</v>
      </c>
      <c r="C57" s="18" t="s">
        <v>313</v>
      </c>
      <c r="D57" s="18" t="s">
        <v>65</v>
      </c>
    </row>
    <row r="58" ht="49.5" customHeight="1">
      <c r="A58" s="16" t="s">
        <v>315</v>
      </c>
      <c r="B58" s="18" t="s">
        <v>316</v>
      </c>
      <c r="C58" s="18" t="s">
        <v>318</v>
      </c>
      <c r="D58" s="18" t="s">
        <v>319</v>
      </c>
    </row>
    <row r="59" ht="49.5" customHeight="1">
      <c r="A59" s="49" t="s">
        <v>321</v>
      </c>
      <c r="B59" s="35" t="s">
        <v>322</v>
      </c>
      <c r="C59" s="35" t="s">
        <v>323</v>
      </c>
      <c r="D59" s="35" t="s">
        <v>324</v>
      </c>
    </row>
    <row r="60" ht="15.75" customHeight="1">
      <c r="A60" s="1"/>
      <c r="B60" s="1"/>
      <c r="C60" s="1"/>
      <c r="D60" s="1"/>
    </row>
    <row r="61" ht="24.0" customHeight="1">
      <c r="A61" s="37" t="s">
        <v>325</v>
      </c>
      <c r="B61" s="1"/>
      <c r="C61" s="1"/>
      <c r="D61" s="1"/>
    </row>
    <row r="62" ht="22.5" customHeight="1">
      <c r="A62" s="53" t="s">
        <v>326</v>
      </c>
      <c r="B62" s="53" t="s">
        <v>327</v>
      </c>
      <c r="C62" s="1"/>
      <c r="D62" s="1"/>
    </row>
    <row r="63" ht="21.0" customHeight="1">
      <c r="A63" s="1" t="s">
        <v>329</v>
      </c>
      <c r="B63" s="55" t="s">
        <v>330</v>
      </c>
      <c r="C63" s="1"/>
      <c r="D63" s="1"/>
    </row>
    <row r="64" ht="21.0" customHeight="1">
      <c r="A64" s="1" t="s">
        <v>332</v>
      </c>
      <c r="B64" s="55" t="s">
        <v>333</v>
      </c>
      <c r="C64" s="1"/>
      <c r="D64" s="1"/>
    </row>
    <row r="65" ht="21.0" customHeight="1">
      <c r="A65" s="1" t="s">
        <v>334</v>
      </c>
      <c r="B65" s="55" t="s">
        <v>335</v>
      </c>
      <c r="C65" s="1"/>
      <c r="D65" s="1"/>
    </row>
    <row r="66" ht="21.0" customHeight="1">
      <c r="A66" s="1" t="s">
        <v>336</v>
      </c>
      <c r="B66" s="55" t="s">
        <v>337</v>
      </c>
      <c r="C66" s="1"/>
      <c r="D66" s="1"/>
    </row>
    <row r="67" ht="21.0" customHeight="1">
      <c r="A67" s="1" t="s">
        <v>338</v>
      </c>
      <c r="B67" s="55" t="s">
        <v>339</v>
      </c>
      <c r="C67" s="1"/>
      <c r="D67" s="1"/>
    </row>
    <row r="68" ht="21.0" customHeight="1">
      <c r="A68" s="1" t="s">
        <v>340</v>
      </c>
      <c r="B68" s="55" t="s">
        <v>341</v>
      </c>
      <c r="C68" s="1"/>
      <c r="D68" s="1"/>
    </row>
    <row r="69" ht="21.0" customHeight="1">
      <c r="A69" s="1" t="s">
        <v>342</v>
      </c>
      <c r="B69" s="55" t="s">
        <v>343</v>
      </c>
      <c r="C69" s="1"/>
      <c r="D69" s="1"/>
    </row>
    <row r="70" ht="21.0" customHeight="1">
      <c r="A70" s="1" t="s">
        <v>344</v>
      </c>
      <c r="B70" s="55" t="s">
        <v>345</v>
      </c>
      <c r="C70" s="1"/>
      <c r="D70" s="1"/>
    </row>
    <row r="71" ht="21.0" customHeight="1">
      <c r="A71" s="1" t="s">
        <v>346</v>
      </c>
      <c r="B71" s="55" t="s">
        <v>347</v>
      </c>
      <c r="C71" s="1"/>
      <c r="D71" s="1"/>
    </row>
    <row r="72" ht="21.0" customHeight="1">
      <c r="A72" s="1" t="s">
        <v>349</v>
      </c>
      <c r="B72" s="55" t="s">
        <v>350</v>
      </c>
      <c r="C72" s="1"/>
      <c r="D72" s="1"/>
    </row>
    <row r="73" ht="21.0" customHeight="1">
      <c r="A73" s="1" t="s">
        <v>352</v>
      </c>
      <c r="B73" s="55" t="s">
        <v>353</v>
      </c>
      <c r="C73" s="1"/>
      <c r="D73" s="1"/>
    </row>
    <row r="74" ht="21.0" customHeight="1">
      <c r="A74" s="1" t="s">
        <v>354</v>
      </c>
      <c r="B74" s="55" t="s">
        <v>355</v>
      </c>
      <c r="C74" s="1"/>
      <c r="D74" s="1"/>
    </row>
    <row r="75" ht="21.0" customHeight="1">
      <c r="A75" s="1" t="s">
        <v>356</v>
      </c>
      <c r="B75" s="55" t="s">
        <v>357</v>
      </c>
      <c r="C75" s="1"/>
      <c r="D75" s="1"/>
    </row>
    <row r="76" ht="21.0" customHeight="1">
      <c r="A76" s="1" t="s">
        <v>358</v>
      </c>
      <c r="B76" s="55" t="s">
        <v>359</v>
      </c>
      <c r="C76" s="1"/>
      <c r="D76" s="1"/>
    </row>
    <row r="77" ht="21.0" customHeight="1">
      <c r="A77" s="1" t="s">
        <v>360</v>
      </c>
      <c r="B77" s="55" t="s">
        <v>361</v>
      </c>
      <c r="C77" s="1"/>
      <c r="D77" s="1"/>
    </row>
    <row r="78" ht="21.0" customHeight="1">
      <c r="A78" s="1" t="s">
        <v>362</v>
      </c>
      <c r="B78" s="55" t="s">
        <v>363</v>
      </c>
      <c r="C78" s="1"/>
      <c r="D78" s="1"/>
    </row>
    <row r="79" ht="21.0" customHeight="1">
      <c r="A79" s="1" t="s">
        <v>364</v>
      </c>
      <c r="B79" s="55" t="s">
        <v>365</v>
      </c>
      <c r="C79" s="1"/>
      <c r="D79" s="1"/>
    </row>
    <row r="80" ht="21.0" customHeight="1">
      <c r="A80" s="1" t="s">
        <v>366</v>
      </c>
      <c r="B80" s="55" t="s">
        <v>367</v>
      </c>
      <c r="C80" s="1"/>
      <c r="D80" s="1"/>
    </row>
    <row r="81" ht="21.0" customHeight="1">
      <c r="A81" s="1" t="s">
        <v>368</v>
      </c>
      <c r="B81" s="55" t="s">
        <v>369</v>
      </c>
      <c r="C81" s="1"/>
      <c r="D81" s="1"/>
    </row>
    <row r="82" ht="21.0" customHeight="1">
      <c r="A82" s="1" t="s">
        <v>370</v>
      </c>
      <c r="B82" s="55" t="s">
        <v>371</v>
      </c>
      <c r="C82" s="1"/>
      <c r="D82" s="1"/>
    </row>
    <row r="83" ht="21.0" customHeight="1">
      <c r="A83" s="1" t="s">
        <v>372</v>
      </c>
      <c r="B83" s="55" t="s">
        <v>373</v>
      </c>
      <c r="C83" s="1"/>
      <c r="D83" s="1"/>
    </row>
    <row r="84" ht="21.0" customHeight="1">
      <c r="A84" s="1" t="s">
        <v>375</v>
      </c>
      <c r="B84" s="55" t="s">
        <v>376</v>
      </c>
      <c r="C84" s="1"/>
      <c r="D84" s="1"/>
    </row>
    <row r="85" ht="21.0" customHeight="1">
      <c r="A85" s="1" t="s">
        <v>377</v>
      </c>
      <c r="B85" s="55" t="s">
        <v>378</v>
      </c>
      <c r="C85" s="1"/>
      <c r="D85" s="1"/>
    </row>
    <row r="86" ht="21.0" customHeight="1">
      <c r="A86" s="1" t="s">
        <v>380</v>
      </c>
      <c r="B86" s="55" t="s">
        <v>381</v>
      </c>
      <c r="C86" s="1"/>
      <c r="D86" s="1"/>
    </row>
    <row r="87" ht="21.0" customHeight="1">
      <c r="A87" s="1" t="s">
        <v>382</v>
      </c>
      <c r="B87" s="55" t="s">
        <v>383</v>
      </c>
      <c r="C87" s="1"/>
      <c r="D87" s="1"/>
    </row>
    <row r="88" ht="21.0" customHeight="1">
      <c r="A88" s="1" t="s">
        <v>384</v>
      </c>
      <c r="B88" s="55" t="s">
        <v>385</v>
      </c>
      <c r="C88" s="1"/>
      <c r="D88" s="1"/>
    </row>
    <row r="89" ht="21.0" customHeight="1">
      <c r="A89" s="1" t="s">
        <v>386</v>
      </c>
      <c r="B89" s="55" t="s">
        <v>387</v>
      </c>
      <c r="C89" s="1"/>
      <c r="D89" s="1"/>
    </row>
    <row r="90" ht="21.0" customHeight="1">
      <c r="A90" s="1" t="s">
        <v>388</v>
      </c>
      <c r="B90" s="55" t="s">
        <v>389</v>
      </c>
      <c r="C90" s="1"/>
      <c r="D90" s="1"/>
    </row>
    <row r="91" ht="21.0" customHeight="1">
      <c r="A91" s="1" t="s">
        <v>390</v>
      </c>
      <c r="B91" s="55" t="s">
        <v>391</v>
      </c>
      <c r="C91" s="1"/>
      <c r="D91" s="1"/>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A710426-F0B7-495D-8233-C3339CD69F8A}" filter="1" showAutoFilter="1">
      <autoFilter ref="$A$6:$D$59"/>
    </customSheetView>
  </customSheetView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A548"/>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1.13"/>
    <col customWidth="1" min="2" max="2" width="28.38"/>
    <col customWidth="1" min="3" max="3" width="63.88"/>
    <col customWidth="1" min="4" max="4" width="43.38"/>
    <col customWidth="1" min="5" max="5" width="12.5"/>
    <col customWidth="1" min="6" max="26" width="8.63"/>
  </cols>
  <sheetData>
    <row r="1" ht="9.0" customHeight="1">
      <c r="A1" s="1"/>
      <c r="B1" s="1"/>
      <c r="C1" s="1"/>
      <c r="D1" s="1"/>
      <c r="E1" s="1"/>
    </row>
    <row r="2" ht="24.0" customHeight="1">
      <c r="A2" s="3" t="s">
        <v>1</v>
      </c>
      <c r="B2" s="5"/>
      <c r="C2" s="5"/>
      <c r="D2" s="5"/>
      <c r="E2" s="5"/>
    </row>
    <row r="3" ht="18.75" customHeight="1">
      <c r="A3" s="7" t="s">
        <v>4</v>
      </c>
      <c r="B3" s="1"/>
      <c r="C3" s="1"/>
      <c r="D3" s="1"/>
      <c r="E3" s="1"/>
    </row>
    <row r="4" ht="22.5" customHeight="1">
      <c r="A4" s="7" t="s">
        <v>8</v>
      </c>
      <c r="B4" s="12">
        <f>COUNTIFS(E7:E22,"미결정")</f>
        <v>16</v>
      </c>
      <c r="C4" s="7" t="s">
        <v>13</v>
      </c>
      <c r="D4" s="7"/>
      <c r="E4" s="7"/>
    </row>
    <row r="5" ht="9.0" customHeight="1">
      <c r="A5" s="1"/>
      <c r="B5" s="1"/>
      <c r="C5" s="1"/>
      <c r="D5" s="1"/>
      <c r="E5" s="1"/>
    </row>
    <row r="6" ht="28.5" customHeight="1">
      <c r="A6" s="11" t="s">
        <v>16</v>
      </c>
      <c r="B6" s="11" t="s">
        <v>19</v>
      </c>
      <c r="C6" s="11" t="s">
        <v>21</v>
      </c>
      <c r="D6" s="11" t="s">
        <v>23</v>
      </c>
      <c r="E6" s="11" t="s">
        <v>25</v>
      </c>
    </row>
    <row r="7" ht="52.5" customHeight="1">
      <c r="A7" s="14" t="s">
        <v>27</v>
      </c>
      <c r="B7" s="14" t="s">
        <v>29</v>
      </c>
      <c r="C7" s="14" t="s">
        <v>30</v>
      </c>
      <c r="D7" s="14" t="s">
        <v>33</v>
      </c>
      <c r="E7" s="21" t="s">
        <v>8</v>
      </c>
    </row>
    <row r="8" ht="52.5" customHeight="1">
      <c r="A8" s="18" t="s">
        <v>42</v>
      </c>
      <c r="B8" s="18" t="s">
        <v>45</v>
      </c>
      <c r="C8" s="18" t="s">
        <v>47</v>
      </c>
      <c r="D8" s="18" t="s">
        <v>50</v>
      </c>
      <c r="E8" s="23" t="s">
        <v>8</v>
      </c>
    </row>
    <row r="9" ht="52.5" customHeight="1">
      <c r="A9" s="18" t="s">
        <v>22</v>
      </c>
      <c r="B9" s="18" t="s">
        <v>55</v>
      </c>
      <c r="C9" s="18" t="s">
        <v>58</v>
      </c>
      <c r="D9" s="18" t="s">
        <v>61</v>
      </c>
      <c r="E9" s="23" t="s">
        <v>8</v>
      </c>
    </row>
    <row r="10" ht="52.5" customHeight="1">
      <c r="A10" s="18" t="s">
        <v>34</v>
      </c>
      <c r="B10" s="18" t="s">
        <v>68</v>
      </c>
      <c r="C10" s="18" t="s">
        <v>70</v>
      </c>
      <c r="D10" s="18" t="s">
        <v>72</v>
      </c>
      <c r="E10" s="23" t="s">
        <v>8</v>
      </c>
    </row>
    <row r="11" ht="52.5" customHeight="1">
      <c r="A11" s="18" t="s">
        <v>65</v>
      </c>
      <c r="B11" s="18" t="s">
        <v>77</v>
      </c>
      <c r="C11" s="18" t="s">
        <v>80</v>
      </c>
      <c r="D11" s="18" t="s">
        <v>82</v>
      </c>
      <c r="E11" s="23" t="s">
        <v>8</v>
      </c>
    </row>
    <row r="12" ht="52.5" customHeight="1">
      <c r="A12" s="18" t="s">
        <v>86</v>
      </c>
      <c r="B12" s="18" t="s">
        <v>87</v>
      </c>
      <c r="C12" s="18" t="s">
        <v>89</v>
      </c>
      <c r="D12" s="18" t="s">
        <v>91</v>
      </c>
      <c r="E12" s="23" t="s">
        <v>8</v>
      </c>
    </row>
    <row r="13" ht="52.5" customHeight="1">
      <c r="A13" s="18" t="s">
        <v>96</v>
      </c>
      <c r="B13" s="18" t="s">
        <v>99</v>
      </c>
      <c r="C13" s="18" t="s">
        <v>101</v>
      </c>
      <c r="D13" s="18" t="s">
        <v>103</v>
      </c>
      <c r="E13" s="23" t="s">
        <v>8</v>
      </c>
    </row>
    <row r="14" ht="52.5" customHeight="1">
      <c r="A14" s="18" t="s">
        <v>107</v>
      </c>
      <c r="B14" s="18" t="s">
        <v>108</v>
      </c>
      <c r="C14" s="18" t="s">
        <v>110</v>
      </c>
      <c r="D14" s="18" t="s">
        <v>112</v>
      </c>
      <c r="E14" s="23" t="s">
        <v>8</v>
      </c>
    </row>
    <row r="15" ht="52.5" customHeight="1">
      <c r="A15" s="18" t="s">
        <v>115</v>
      </c>
      <c r="B15" s="18" t="s">
        <v>117</v>
      </c>
      <c r="C15" s="18" t="s">
        <v>120</v>
      </c>
      <c r="D15" s="18" t="s">
        <v>122</v>
      </c>
      <c r="E15" s="23" t="s">
        <v>8</v>
      </c>
    </row>
    <row r="16" ht="52.5" customHeight="1">
      <c r="A16" s="18" t="s">
        <v>128</v>
      </c>
      <c r="B16" s="18" t="s">
        <v>131</v>
      </c>
      <c r="C16" s="18" t="s">
        <v>134</v>
      </c>
      <c r="D16" s="18" t="s">
        <v>137</v>
      </c>
      <c r="E16" s="23" t="s">
        <v>8</v>
      </c>
    </row>
    <row r="17" ht="52.5" customHeight="1">
      <c r="A17" s="18" t="s">
        <v>140</v>
      </c>
      <c r="B17" s="18" t="s">
        <v>142</v>
      </c>
      <c r="C17" s="18" t="s">
        <v>144</v>
      </c>
      <c r="D17" s="18" t="s">
        <v>146</v>
      </c>
      <c r="E17" s="23" t="s">
        <v>8</v>
      </c>
    </row>
    <row r="18" ht="52.5" customHeight="1">
      <c r="A18" s="18" t="s">
        <v>126</v>
      </c>
      <c r="B18" s="18" t="s">
        <v>151</v>
      </c>
      <c r="C18" s="18" t="s">
        <v>153</v>
      </c>
      <c r="D18" s="18" t="s">
        <v>155</v>
      </c>
      <c r="E18" s="23" t="s">
        <v>8</v>
      </c>
    </row>
    <row r="19" ht="52.5" customHeight="1">
      <c r="A19" s="18" t="s">
        <v>158</v>
      </c>
      <c r="B19" s="18" t="s">
        <v>159</v>
      </c>
      <c r="C19" s="18" t="s">
        <v>161</v>
      </c>
      <c r="D19" s="18" t="s">
        <v>163</v>
      </c>
      <c r="E19" s="23" t="s">
        <v>8</v>
      </c>
    </row>
    <row r="20" ht="52.5" customHeight="1">
      <c r="A20" s="18" t="s">
        <v>167</v>
      </c>
      <c r="B20" s="18" t="s">
        <v>170</v>
      </c>
      <c r="C20" s="18" t="s">
        <v>172</v>
      </c>
      <c r="D20" s="18" t="s">
        <v>173</v>
      </c>
      <c r="E20" s="23" t="s">
        <v>8</v>
      </c>
    </row>
    <row r="21" ht="52.5" customHeight="1">
      <c r="A21" s="18" t="s">
        <v>177</v>
      </c>
      <c r="B21" s="18" t="s">
        <v>178</v>
      </c>
      <c r="C21" s="18" t="s">
        <v>181</v>
      </c>
      <c r="D21" s="18" t="s">
        <v>184</v>
      </c>
      <c r="E21" s="23" t="s">
        <v>8</v>
      </c>
    </row>
    <row r="22" ht="52.5" customHeight="1">
      <c r="A22" s="35" t="s">
        <v>188</v>
      </c>
      <c r="B22" s="35" t="s">
        <v>190</v>
      </c>
      <c r="C22" s="35" t="s">
        <v>192</v>
      </c>
      <c r="D22" s="35" t="s">
        <v>194</v>
      </c>
      <c r="E22" s="36" t="s">
        <v>8</v>
      </c>
    </row>
    <row r="23" ht="15.75" customHeight="1">
      <c r="A23" s="1"/>
      <c r="B23" s="1"/>
      <c r="C23" s="1"/>
      <c r="D23" s="1"/>
      <c r="E23" s="1"/>
    </row>
    <row r="24" ht="24.0" customHeight="1">
      <c r="A24" s="37" t="s">
        <v>199</v>
      </c>
      <c r="B24" s="1"/>
      <c r="C24" s="1"/>
      <c r="D24" s="1"/>
      <c r="E24" s="1"/>
    </row>
    <row r="25" ht="24.0" customHeight="1">
      <c r="A25" s="38" t="s">
        <v>9</v>
      </c>
      <c r="B25" s="38" t="s">
        <v>201</v>
      </c>
      <c r="C25" s="38" t="s">
        <v>21</v>
      </c>
      <c r="D25" s="38" t="s">
        <v>203</v>
      </c>
      <c r="E25" s="38" t="s">
        <v>25</v>
      </c>
    </row>
    <row r="26" ht="48.75" customHeight="1">
      <c r="A26" s="2" t="s">
        <v>204</v>
      </c>
      <c r="B26" s="2" t="s">
        <v>206</v>
      </c>
      <c r="C26" s="2" t="s">
        <v>207</v>
      </c>
      <c r="D26" s="2" t="s">
        <v>208</v>
      </c>
      <c r="E26" s="2" t="s">
        <v>209</v>
      </c>
    </row>
    <row r="27" ht="48.75" customHeight="1">
      <c r="A27" s="2" t="s">
        <v>212</v>
      </c>
      <c r="B27" s="2" t="s">
        <v>213</v>
      </c>
      <c r="C27" s="2" t="s">
        <v>214</v>
      </c>
      <c r="D27" s="2" t="s">
        <v>215</v>
      </c>
      <c r="E27" s="2" t="s">
        <v>209</v>
      </c>
    </row>
    <row r="28" ht="48.75" customHeight="1">
      <c r="A28" s="2" t="s">
        <v>217</v>
      </c>
      <c r="B28" s="2" t="s">
        <v>218</v>
      </c>
      <c r="C28" s="2" t="s">
        <v>219</v>
      </c>
      <c r="D28" s="2" t="s">
        <v>208</v>
      </c>
      <c r="E28" s="2" t="s">
        <v>209</v>
      </c>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1760E1E-4CE4-496B-8EB4-5F333C8E140B}" filter="1" showAutoFilter="1">
      <autoFilter ref="$A$6:$E$22"/>
    </customSheetView>
  </customSheetViews>
  <conditionalFormatting sqref="E7:E22">
    <cfRule type="containsText" dxfId="5" priority="1" operator="containsText" text="미결정">
      <formula>NOT(ISERROR(SEARCH(("미결정"),(E7))))</formula>
    </cfRule>
  </conditionalFormatting>
  <dataValidations>
    <dataValidation type="list" allowBlank="1" sqref="E7:E22">
      <formula1>"미결정,논의 중,결정 완료"</formula1>
    </dataValidation>
  </dataValidations>
  <printOptions/>
  <pageMargins bottom="0.75" footer="0.0" header="0.0" left="0.7" right="0.7" top="0.75"/>
  <pageSetup orientation="landscape"/>
  <drawing r:id="rId1"/>
  <tableParts count="1">
    <tablePart r:id="rId3"/>
  </tableParts>
</worksheet>
</file>