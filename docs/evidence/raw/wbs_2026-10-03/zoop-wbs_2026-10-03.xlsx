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·변경이력" sheetId="1" r:id="rId5"/>
    <sheet state="visible" name="프로젝트 WBS" sheetId="2" r:id="rId6"/>
    <sheet state="visible" name="개발 일정 요약" sheetId="3" r:id="rId7"/>
  </sheets>
  <definedNames/>
  <calcPr/>
</workbook>
</file>

<file path=xl/sharedStrings.xml><?xml version="1.0" encoding="utf-8"?>
<sst xmlns="http://schemas.openxmlformats.org/spreadsheetml/2006/main" count="665" uniqueCount="533">
  <si>
    <t>기능 명세 기반 개발 일정 요약</t>
  </si>
  <si>
    <t>프로젝트 WBS</t>
  </si>
  <si>
    <t>개발 기간 2026-10-07 ~ 2026-11-06 · 7인 병렬 개발 가정 · 담당자는 팀에서 직접 배정</t>
  </si>
  <si>
    <t>프로젝트 WBS (Work Breakdown Structure)</t>
  </si>
  <si>
    <t>문서 정보</t>
  </si>
  <si>
    <t>영역</t>
  </si>
  <si>
    <t>문서명</t>
  </si>
  <si>
    <t>기능 수</t>
  </si>
  <si>
    <t>시작일</t>
  </si>
  <si>
    <t>프로젝트명</t>
  </si>
  <si>
    <t>종료일</t>
  </si>
  <si>
    <t>핵심 선행조건</t>
  </si>
  <si>
    <t>일정 배치 원칙</t>
  </si>
  <si>
    <t>줍(Zoop) 금융 관계 그래프 서비스</t>
  </si>
  <si>
    <t>회원가입·로그인</t>
  </si>
  <si>
    <t>줍(Zoop) 프로젝트 WBS</t>
  </si>
  <si>
    <t>수행인력</t>
  </si>
  <si>
    <t>7인 팀</t>
  </si>
  <si>
    <t>문서 번호</t>
  </si>
  <si>
    <t>ZOOP-WBS-001</t>
  </si>
  <si>
    <t>가중 진척률</t>
  </si>
  <si>
    <t>공통 API·인증 구조</t>
  </si>
  <si>
    <t>선행 API 완료와 동시에 병렬 착수</t>
  </si>
  <si>
    <t>온보딩·튜토리얼</t>
  </si>
  <si>
    <t>현재 버전</t>
  </si>
  <si>
    <t>회원 상태·가상계좌·관심종목 API</t>
  </si>
  <si>
    <t>v0.2</t>
  </si>
  <si>
    <t>최종 수정일</t>
  </si>
  <si>
    <t>작성</t>
  </si>
  <si>
    <t>팀원 전원</t>
  </si>
  <si>
    <t>데이터 관리·외부 연동</t>
  </si>
  <si>
    <t>스키마·수집 정책·AI 분석 계약</t>
  </si>
  <si>
    <t>메인 그래프</t>
  </si>
  <si>
    <t>검증된 관계 데이터·GraphDB 조회 API</t>
  </si>
  <si>
    <t>기업 상세·타임라인</t>
  </si>
  <si>
    <t>수행 기간</t>
  </si>
  <si>
    <t>2026.08.29 ~ 2026.11.06</t>
  </si>
  <si>
    <t>기업·시장·근거 조회 API</t>
  </si>
  <si>
    <t>출퇴근 브리핑</t>
  </si>
  <si>
    <t>이슈 선정·시장 데이터·관계 그래프</t>
  </si>
  <si>
    <t>P1 우선 구현 후 P2·우선순위 미정 3건 후반 배치</t>
  </si>
  <si>
    <t>수행 인력</t>
  </si>
  <si>
    <t>AI 챗봇</t>
  </si>
  <si>
    <t>7명</t>
  </si>
  <si>
    <t>질의 분기 거버넌스·그래프/근거 조회</t>
  </si>
  <si>
    <t>관리자</t>
  </si>
  <si>
    <t>운영 데이터·권한·검토 워크플로</t>
  </si>
  <si>
    <t>변경 이력</t>
  </si>
  <si>
    <t>버전</t>
  </si>
  <si>
    <t>주요 마일스톤</t>
  </si>
  <si>
    <t>일자</t>
  </si>
  <si>
    <t>수정자</t>
  </si>
  <si>
    <t>변경 내용</t>
  </si>
  <si>
    <t>v0.1</t>
  </si>
  <si>
    <t>초안 작성 및 기존 수행 내역 반영</t>
  </si>
  <si>
    <t>공통 개발 기반 완료</t>
  </si>
  <si>
    <t>개발 환경·공통 API·스키마·Mock 데이터</t>
  </si>
  <si>
    <t>핵심 그래프 Alpha</t>
  </si>
  <si>
    <t>개인화/전체 그래프·노드 정보·핵심 이슈 연동</t>
  </si>
  <si>
    <t>기능 개발 동결</t>
  </si>
  <si>
    <t>브리핑·챗봇·상세·관리자 주요 기능 완료</t>
  </si>
  <si>
    <t>기능 명세 기반 기능별 개발 WBS와 일정 추가</t>
  </si>
  <si>
    <t>통합 시나리오 검증</t>
  </si>
  <si>
    <t>E2E와 운영 흐름 검증 완료</t>
  </si>
  <si>
    <t>최종 인수·배포</t>
  </si>
  <si>
    <t>결함 수정·비기능 점검·배포본 확정</t>
  </si>
  <si>
    <t>일정 가정 및 사용 방법</t>
  </si>
  <si>
    <t>1</t>
  </si>
  <si>
    <t>병렬 개발</t>
  </si>
  <si>
    <t>7인 팀을 전제로 데이터·그래프·화면·AI·관리자 기능을 동시에 진행합니다.</t>
  </si>
  <si>
    <t>2</t>
  </si>
  <si>
    <t>기능 완료 기준</t>
  </si>
  <si>
    <t>각 기능 일정에는 구현과 단위 테스트를 포함하며, 통합 테스트는 별도 작업으로 배치했습니다.</t>
  </si>
  <si>
    <t>시트 구성</t>
  </si>
  <si>
    <t>시트</t>
  </si>
  <si>
    <t>3</t>
  </si>
  <si>
    <t>미확정 기능</t>
  </si>
  <si>
    <t>보류·검토 중·팀 검토 전·미기재 기능은 유형 열을 노란색으로 표시했습니다.</t>
  </si>
  <si>
    <t>내용</t>
  </si>
  <si>
    <t>표지·변경이력</t>
  </si>
  <si>
    <t>4</t>
  </si>
  <si>
    <t>P2 기능</t>
  </si>
  <si>
    <t>공통/개인화 브리핑·관리 통계 등 P2 기능은 핵심 P1 기능 이후에 배치했습니다.</t>
  </si>
  <si>
    <t>5</t>
  </si>
  <si>
    <t>담당자</t>
  </si>
  <si>
    <t>프로젝트 WBS의 수행인력 열은 팀에서 직접 배정할 수 있도록 비워두었습니다.</t>
  </si>
  <si>
    <t>문서 정보와 수정 이력</t>
  </si>
  <si>
    <t>WBS 본표 — 기존 수행 내역과 기능별 개발 일정</t>
  </si>
  <si>
    <t>수행기간</t>
  </si>
  <si>
    <t>개발 일정 요약</t>
  </si>
  <si>
    <t>73개 기능의 영역별 일정·선행조건·마일스톤</t>
  </si>
  <si>
    <t>주요 일정</t>
  </si>
  <si>
    <t>중간 발표 09/17 · 설계 완료 10/06 · 개발 10/07~11/06 · 기능 통합 10/29</t>
  </si>
  <si>
    <t>단계</t>
  </si>
  <si>
    <t>주차</t>
  </si>
  <si>
    <t>W1
08/29</t>
  </si>
  <si>
    <t>W2
09/05</t>
  </si>
  <si>
    <t>W3
09/12</t>
  </si>
  <si>
    <t>W4
09/19</t>
  </si>
  <si>
    <t>W5
09/26</t>
  </si>
  <si>
    <t>W6
10/03</t>
  </si>
  <si>
    <t>W7
10/10</t>
  </si>
  <si>
    <t>W8
10/17</t>
  </si>
  <si>
    <t>W9
10/24</t>
  </si>
  <si>
    <t>W10
10/31</t>
  </si>
  <si>
    <t>구분</t>
  </si>
  <si>
    <t>WBS</t>
  </si>
  <si>
    <t>업무</t>
  </si>
  <si>
    <t>유형</t>
  </si>
  <si>
    <t>산출물</t>
  </si>
  <si>
    <t>가중치</t>
  </si>
  <si>
    <t>진행률</t>
  </si>
  <si>
    <t>29
토</t>
  </si>
  <si>
    <t>30
일</t>
  </si>
  <si>
    <t>31
월</t>
  </si>
  <si>
    <t>1
화</t>
  </si>
  <si>
    <t>2
수</t>
  </si>
  <si>
    <t>3
목</t>
  </si>
  <si>
    <t>4
금</t>
  </si>
  <si>
    <t>5
토</t>
  </si>
  <si>
    <t>6
일</t>
  </si>
  <si>
    <t>7
월</t>
  </si>
  <si>
    <t>8
화</t>
  </si>
  <si>
    <t>9
수</t>
  </si>
  <si>
    <t>10
목</t>
  </si>
  <si>
    <t>11
금</t>
  </si>
  <si>
    <t>12
토</t>
  </si>
  <si>
    <t>13
일</t>
  </si>
  <si>
    <t>14
월</t>
  </si>
  <si>
    <t>15
화</t>
  </si>
  <si>
    <t>16
수</t>
  </si>
  <si>
    <t>17
목</t>
  </si>
  <si>
    <t>18
금</t>
  </si>
  <si>
    <t>19
토</t>
  </si>
  <si>
    <t>20
일</t>
  </si>
  <si>
    <t>21
월</t>
  </si>
  <si>
    <t>22
화</t>
  </si>
  <si>
    <t>23
수</t>
  </si>
  <si>
    <t>24
목</t>
  </si>
  <si>
    <t>25
금</t>
  </si>
  <si>
    <t>26
토</t>
  </si>
  <si>
    <t>27
일</t>
  </si>
  <si>
    <t>28
월</t>
  </si>
  <si>
    <t>29
화</t>
  </si>
  <si>
    <t>30
수</t>
  </si>
  <si>
    <t>1
목</t>
  </si>
  <si>
    <t>2
금</t>
  </si>
  <si>
    <t>3
토</t>
  </si>
  <si>
    <t>4
일</t>
  </si>
  <si>
    <t>5
월</t>
  </si>
  <si>
    <t>6
화</t>
  </si>
  <si>
    <t>7
수</t>
  </si>
  <si>
    <t>8
목</t>
  </si>
  <si>
    <t>9
금</t>
  </si>
  <si>
    <t>10
토</t>
  </si>
  <si>
    <t>11
일</t>
  </si>
  <si>
    <t>12
월</t>
  </si>
  <si>
    <t>13
화</t>
  </si>
  <si>
    <t>14
수</t>
  </si>
  <si>
    <t>15
목</t>
  </si>
  <si>
    <t>16
금</t>
  </si>
  <si>
    <t>17
토</t>
  </si>
  <si>
    <t>18
일</t>
  </si>
  <si>
    <t>19
월</t>
  </si>
  <si>
    <t>20
화</t>
  </si>
  <si>
    <t>21
수</t>
  </si>
  <si>
    <t>22
목</t>
  </si>
  <si>
    <t>23
금</t>
  </si>
  <si>
    <t>24
토</t>
  </si>
  <si>
    <t>25
일</t>
  </si>
  <si>
    <t>26
월</t>
  </si>
  <si>
    <t>27
화</t>
  </si>
  <si>
    <t>28
수</t>
  </si>
  <si>
    <t>29
목</t>
  </si>
  <si>
    <t>30
금</t>
  </si>
  <si>
    <t>31
토</t>
  </si>
  <si>
    <t>1
일</t>
  </si>
  <si>
    <t>2
월</t>
  </si>
  <si>
    <t>3
화</t>
  </si>
  <si>
    <t>4
수</t>
  </si>
  <si>
    <t>5
목</t>
  </si>
  <si>
    <t>6
금</t>
  </si>
  <si>
    <t>기획 및 방향 설정</t>
  </si>
  <si>
    <t>1.1</t>
  </si>
  <si>
    <t xml:space="preserve">    아이디어 도출</t>
  </si>
  <si>
    <t>기획</t>
  </si>
  <si>
    <t>아이디어 후보안</t>
  </si>
  <si>
    <t>1.2</t>
  </si>
  <si>
    <t xml:space="preserve">    벤치마킹</t>
  </si>
  <si>
    <t>조사</t>
  </si>
  <si>
    <t>벤치마킹 분석 자료</t>
  </si>
  <si>
    <t>1.3</t>
  </si>
  <si>
    <t xml:space="preserve">    아이디어 확정</t>
  </si>
  <si>
    <t>최종 주제안</t>
  </si>
  <si>
    <t>1.4</t>
  </si>
  <si>
    <t xml:space="preserve">    기능 구체화</t>
  </si>
  <si>
    <t>기능 정의안</t>
  </si>
  <si>
    <t>발표 및 기술 검증</t>
  </si>
  <si>
    <t>2.1</t>
  </si>
  <si>
    <t xml:space="preserve">    중간 발표 준비</t>
  </si>
  <si>
    <t>발표</t>
  </si>
  <si>
    <t>중간 발표 자료</t>
  </si>
  <si>
    <t>2.2</t>
  </si>
  <si>
    <t xml:space="preserve">    중간 발표</t>
  </si>
  <si>
    <t>발표 및 피드백</t>
  </si>
  <si>
    <t>2.3</t>
  </si>
  <si>
    <t xml:space="preserve">    이슈 추출 PoC</t>
  </si>
  <si>
    <t>기술검증</t>
  </si>
  <si>
    <t>이슈 추출 PoC 보고서</t>
  </si>
  <si>
    <t>윤서진</t>
  </si>
  <si>
    <t>요구사항 및 문서화</t>
  </si>
  <si>
    <t>3.1</t>
  </si>
  <si>
    <t xml:space="preserve">    사용자 시나리오 작성 및 검토</t>
  </si>
  <si>
    <t>설계</t>
  </si>
  <si>
    <t>사용자 시나리오</t>
  </si>
  <si>
    <t>3.2</t>
  </si>
  <si>
    <t xml:space="preserve">    시퀀스 다이어그램 작성 및 검토</t>
  </si>
  <si>
    <t>시퀀스 다이어그램</t>
  </si>
  <si>
    <t>3.3</t>
  </si>
  <si>
    <t xml:space="preserve">    요구사항 정의서 작성 및 검토</t>
  </si>
  <si>
    <t>문서</t>
  </si>
  <si>
    <t>요구사항 정의서</t>
  </si>
  <si>
    <t>3.4</t>
  </si>
  <si>
    <t xml:space="preserve">    기능 명세서 작성 및 검토</t>
  </si>
  <si>
    <t>기능 명세서</t>
  </si>
  <si>
    <t>정세빈, 정현, 홍정현</t>
  </si>
  <si>
    <t>3.5</t>
  </si>
  <si>
    <t xml:space="preserve">    비기능 명세서 작성</t>
  </si>
  <si>
    <t>비기능 명세서</t>
  </si>
  <si>
    <t>3.6</t>
  </si>
  <si>
    <t xml:space="preserve">    WBS 작성</t>
  </si>
  <si>
    <t>UI·UX 설계</t>
  </si>
  <si>
    <t>4.1</t>
  </si>
  <si>
    <t xml:space="preserve">    와이어프레임 제작</t>
  </si>
  <si>
    <t>UI·UX</t>
  </si>
  <si>
    <t>화면별 와이어프레임</t>
  </si>
  <si>
    <t>김도현, 안재현, 박주형, 윤서진</t>
  </si>
  <si>
    <t>4.2</t>
  </si>
  <si>
    <t xml:space="preserve">    화면 계획서 작성</t>
  </si>
  <si>
    <t>화면 계획서</t>
  </si>
  <si>
    <t>시스템 상세 설계</t>
  </si>
  <si>
    <t>5.1</t>
  </si>
  <si>
    <t xml:space="preserve">    시스템 아키텍처 제작</t>
  </si>
  <si>
    <t>아키텍처</t>
  </si>
  <si>
    <t>시스템 아키텍처</t>
  </si>
  <si>
    <t>5.2</t>
  </si>
  <si>
    <t xml:space="preserve">    ERD 작성</t>
  </si>
  <si>
    <t>DB 설계</t>
  </si>
  <si>
    <t>ERD</t>
  </si>
  <si>
    <t>백엔드</t>
  </si>
  <si>
    <t>5.3</t>
  </si>
  <si>
    <t xml:space="preserve">    AI 거버넌스 문서 작성</t>
  </si>
  <si>
    <t>거버넌스</t>
  </si>
  <si>
    <t>AI 거버넌스 문서</t>
  </si>
  <si>
    <t>미정</t>
  </si>
  <si>
    <t>개발 및 통합 검증</t>
  </si>
  <si>
    <t>6</t>
  </si>
  <si>
    <t>6.1</t>
  </si>
  <si>
    <t xml:space="preserve">    공통 개발 기반</t>
  </si>
  <si>
    <t>전체 기능 공통 기반</t>
  </si>
  <si>
    <t>6.1.1</t>
  </si>
  <si>
    <t xml:space="preserve">        개발 환경·브랜치·CI 기준 구성</t>
  </si>
  <si>
    <t>공통기반</t>
  </si>
  <si>
    <t>개발 환경·CI 파이프라인</t>
  </si>
  <si>
    <t>6.1.2</t>
  </si>
  <si>
    <t xml:space="preserve">        공통 API 계약·오류 응답 규격 확정</t>
  </si>
  <si>
    <t>API 계약서·공통 오류 모델</t>
  </si>
  <si>
    <t>6.1.3</t>
  </si>
  <si>
    <t xml:space="preserve">        DB 스키마·마이그레이션·초기 데이터 구성</t>
  </si>
  <si>
    <t>스키마·마이그레이션</t>
  </si>
  <si>
    <t>6.1.4</t>
  </si>
  <si>
    <t xml:space="preserve">        Mock 데이터·테스트 픽스처 구성</t>
  </si>
  <si>
    <t>Mock API·테스트 데이터</t>
  </si>
  <si>
    <t>6.2</t>
  </si>
  <si>
    <t xml:space="preserve">    회원가입·로그인</t>
  </si>
  <si>
    <t>6.2.1</t>
  </si>
  <si>
    <t xml:space="preserve">        [FS001] 서비스 시작 방식 선택</t>
  </si>
  <si>
    <t>P1</t>
  </si>
  <si>
    <t>FS001 구현·단위테스트</t>
  </si>
  <si>
    <t>6.2.2</t>
  </si>
  <si>
    <t xml:space="preserve">        [FS002] 이메일 로그인</t>
  </si>
  <si>
    <t>FS002 구현·단위테스트</t>
  </si>
  <si>
    <t>6.2.3</t>
  </si>
  <si>
    <t xml:space="preserve">        [FS003] 이메일 회원가입</t>
  </si>
  <si>
    <t>FS003 구현·단위테스트</t>
  </si>
  <si>
    <t>6.2.4</t>
  </si>
  <si>
    <t xml:space="preserve">        [FS004] 소셜 로그인과 회원가입</t>
  </si>
  <si>
    <t>FS004 구현·단위테스트</t>
  </si>
  <si>
    <t>6.2.5</t>
  </si>
  <si>
    <t xml:space="preserve">        [FS005] 비회원 시작</t>
  </si>
  <si>
    <t>FS005 구현·단위테스트</t>
  </si>
  <si>
    <t>6.2.6</t>
  </si>
  <si>
    <t xml:space="preserve">        [FS006] 로그인 후 화면 이동</t>
  </si>
  <si>
    <t>FS006 구현·단위테스트</t>
  </si>
  <si>
    <t>6.2.7</t>
  </si>
  <si>
    <t xml:space="preserve">        [FS007] 로그아웃</t>
  </si>
  <si>
    <t>FS007 구현·단위테스트</t>
  </si>
  <si>
    <t>6.3</t>
  </si>
  <si>
    <t xml:space="preserve">    온보딩·튜토리얼</t>
  </si>
  <si>
    <t>6.3.1</t>
  </si>
  <si>
    <t xml:space="preserve">        [FS008] 투자 여부 선택</t>
  </si>
  <si>
    <t>FS008 구현·단위테스트</t>
  </si>
  <si>
    <t>6.3.2</t>
  </si>
  <si>
    <t xml:space="preserve">        [FS009] 가상계좌 프로필 연결</t>
  </si>
  <si>
    <t>FS009 구현·단위테스트</t>
  </si>
  <si>
    <t>6.3.3</t>
  </si>
  <si>
    <t xml:space="preserve">        [FS010] 가상계좌 연결 재시도와 건너뛰기</t>
  </si>
  <si>
    <t>FS010 구현·단위테스트</t>
  </si>
  <si>
    <t>6.3.4</t>
  </si>
  <si>
    <t xml:space="preserve">        [FS011] 관심종목 검색과 추천 조회</t>
  </si>
  <si>
    <t>FS011 구현·단위테스트</t>
  </si>
  <si>
    <t>6.3.5</t>
  </si>
  <si>
    <t xml:space="preserve">        [FS012] 초기 관심종목 선택</t>
  </si>
  <si>
    <t>FS012 구현·단위테스트</t>
  </si>
  <si>
    <t>6.3.6</t>
  </si>
  <si>
    <t xml:space="preserve">        [FS013] 초기 설정 저장</t>
  </si>
  <si>
    <t>FS013 구현·단위테스트</t>
  </si>
  <si>
    <t>6.3.7</t>
  </si>
  <si>
    <t xml:space="preserve">        [FS014] 초기 관계 그래프 제공</t>
  </si>
  <si>
    <t>FS014 구현·단위테스트</t>
  </si>
  <si>
    <t>6.3.8</t>
  </si>
  <si>
    <t xml:space="preserve">        [FS015] 관계 그래프 튜토리얼</t>
  </si>
  <si>
    <t>FS015 구현·단위테스트</t>
  </si>
  <si>
    <t>6.3.9</t>
  </si>
  <si>
    <t xml:space="preserve">        [FS016] 튜토리얼 완료와 건너뛰기</t>
  </si>
  <si>
    <t>FS016 구현·단위테스트</t>
  </si>
  <si>
    <t>6.4</t>
  </si>
  <si>
    <t xml:space="preserve">    데이터 관리·외부 연동</t>
  </si>
  <si>
    <t>6.4.1</t>
  </si>
  <si>
    <t xml:space="preserve">        [FS054] 사용자와 모의 보유</t>
  </si>
  <si>
    <t>FS054 구현·단위테스트</t>
  </si>
  <si>
    <t>6.4.2</t>
  </si>
  <si>
    <t xml:space="preserve">        [FS055] 관계와 근거 연결</t>
  </si>
  <si>
    <t>FS055 구현·단위테스트</t>
  </si>
  <si>
    <t>6.4.3</t>
  </si>
  <si>
    <t xml:space="preserve">        [FS056] 사건과 문서 구분</t>
  </si>
  <si>
    <t>FS056 구현·단위테스트</t>
  </si>
  <si>
    <t>6.4.4</t>
  </si>
  <si>
    <t xml:space="preserve">        [FS057] 브리핑 정보 저장</t>
  </si>
  <si>
    <t>FS057 구현·단위테스트</t>
  </si>
  <si>
    <t>6.4.5</t>
  </si>
  <si>
    <t xml:space="preserve">        [FS058] 신규 경제뉴스 정기 수집 및 이슈 분석</t>
  </si>
  <si>
    <t>FS058 구현·단위테스트</t>
  </si>
  <si>
    <t>6.4.6</t>
  </si>
  <si>
    <t xml:space="preserve">        [FS059] 분석 결과 저장 및 조회 반영</t>
  </si>
  <si>
    <t>FS059 구현·단위테스트</t>
  </si>
  <si>
    <t>6.4.7</t>
  </si>
  <si>
    <t xml:space="preserve">        [FS060] 대화와 질문 기록</t>
  </si>
  <si>
    <t>FS060 구현·단위테스트</t>
  </si>
  <si>
    <t>6.4.8</t>
  </si>
  <si>
    <t xml:space="preserve">        [FS061] 소셜 인증 연동</t>
  </si>
  <si>
    <t>FS061 구현·단위테스트</t>
  </si>
  <si>
    <t>6.4.9</t>
  </si>
  <si>
    <t xml:space="preserve">        [FS062] 가상계좌 데이터 연동</t>
  </si>
  <si>
    <t>FS062 구현·단위테스트</t>
  </si>
  <si>
    <t>6.4.10</t>
  </si>
  <si>
    <t xml:space="preserve">        [FS063] 뉴스와 시장 데이터 연동</t>
  </si>
  <si>
    <t>FS063 구현·단위테스트</t>
  </si>
  <si>
    <t>6.4.11</t>
  </si>
  <si>
    <t xml:space="preserve">        [FS064] AI 분석 연동</t>
  </si>
  <si>
    <t>FS064 구현·단위테스트</t>
  </si>
  <si>
    <t>6.5</t>
  </si>
  <si>
    <t xml:space="preserve">    메인 그래프</t>
  </si>
  <si>
    <t>6.5.1</t>
  </si>
  <si>
    <t xml:space="preserve">        [FS017] 개인화 관계 그래프</t>
  </si>
  <si>
    <t>FS017 구현·단위테스트</t>
  </si>
  <si>
    <t>6.5.2</t>
  </si>
  <si>
    <t xml:space="preserve">        [FS018] 전체 관계 그래프</t>
  </si>
  <si>
    <t>FS018 구현·단위테스트</t>
  </si>
  <si>
    <t>6.5.3</t>
  </si>
  <si>
    <t xml:space="preserve">        [FS019] 그래프 모드 전환</t>
  </si>
  <si>
    <t>FS019 구현·단위테스트</t>
  </si>
  <si>
    <t>6.5.4</t>
  </si>
  <si>
    <t xml:space="preserve">        [FS020] 기업 노드 정보</t>
  </si>
  <si>
    <t>FS020 구현·단위테스트</t>
  </si>
  <si>
    <t>6.5.5</t>
  </si>
  <si>
    <t xml:space="preserve">        [FS021] 이슈 노드 정보</t>
  </si>
  <si>
    <t>FS021 구현·단위테스트</t>
  </si>
  <si>
    <t>6.5.6</t>
  </si>
  <si>
    <t xml:space="preserve">        [FS022] 이슈와 기업의 영향 경로 확인(기업 노드 클릭)</t>
  </si>
  <si>
    <t>FS022 구현·단위테스트</t>
  </si>
  <si>
    <t>6.5.7</t>
  </si>
  <si>
    <t xml:space="preserve">        [FS023] 기업 간 관계 확인(기업 간 간선 클릭)</t>
  </si>
  <si>
    <t>FS023 구현·단위테스트</t>
  </si>
  <si>
    <t>6.5.8</t>
  </si>
  <si>
    <t xml:space="preserve">        [FS024] 관계 근거 확인</t>
  </si>
  <si>
    <t>FS024 구현·단위테스트</t>
  </si>
  <si>
    <t>6.5.9</t>
  </si>
  <si>
    <t xml:space="preserve">        [FS025] 선택한 노드로 AI 질문</t>
  </si>
  <si>
    <t>FS025 구현·단위테스트</t>
  </si>
  <si>
    <t>6.5.10</t>
  </si>
  <si>
    <t xml:space="preserve">        [FS026] 사이드바 기업 선택</t>
  </si>
  <si>
    <t>FS026 구현·단위테스트</t>
  </si>
  <si>
    <t>6.5.11</t>
  </si>
  <si>
    <t xml:space="preserve">        [FS027] 관심 종목 수정</t>
  </si>
  <si>
    <t>FS027 구현·단위테스트</t>
  </si>
  <si>
    <t>6.6</t>
  </si>
  <si>
    <t xml:space="preserve">    기업 상세·타임라인</t>
  </si>
  <si>
    <t>6.6.1</t>
  </si>
  <si>
    <t xml:space="preserve">        [FS038] 기업 상세 조회</t>
  </si>
  <si>
    <t>FS038 구현·단위테스트</t>
  </si>
  <si>
    <t>6.6.2</t>
  </si>
  <si>
    <t xml:space="preserve">        [FS039] 가상 보유 정보 표시</t>
  </si>
  <si>
    <t>FS039 구현·단위테스트</t>
  </si>
  <si>
    <t>6.6.3</t>
  </si>
  <si>
    <t xml:space="preserve">        [FS040·FS040-01] 차트·타임라인·시점 기반 관계 그래프 조회</t>
  </si>
  <si>
    <t>FS040·FS040-01 구현·단위테스트</t>
  </si>
  <si>
    <t>6.6.4</t>
  </si>
  <si>
    <t xml:space="preserve">        [FS041] 동일 시점 이슈 구분</t>
  </si>
  <si>
    <t>FS041 구현·단위테스트</t>
  </si>
  <si>
    <t>6.6.5</t>
  </si>
  <si>
    <t xml:space="preserve">        [FS042] 재무와 실적 조회</t>
  </si>
  <si>
    <t>FS042 구현·단위테스트</t>
  </si>
  <si>
    <t>6.6.6</t>
  </si>
  <si>
    <t xml:space="preserve">        [FS043] 뉴스와 공시 조회</t>
  </si>
  <si>
    <t>FS043 구현·단위테스트</t>
  </si>
  <si>
    <t>6.6.7</t>
  </si>
  <si>
    <t xml:space="preserve">        [FS044] 상세 화면 상태와 이동</t>
  </si>
  <si>
    <t>FS044 구현·단위테스트</t>
  </si>
  <si>
    <t>6.7</t>
  </si>
  <si>
    <t xml:space="preserve">    출퇴근 브리핑</t>
  </si>
  <si>
    <t>6.7.1</t>
  </si>
  <si>
    <t xml:space="preserve">        [FS028] 출근 브리핑 생성</t>
  </si>
  <si>
    <t>FS028 구현·단위테스트</t>
  </si>
  <si>
    <t>6.7.2</t>
  </si>
  <si>
    <t xml:space="preserve">        [FS029] 퇴근 브리핑 생성</t>
  </si>
  <si>
    <t>FS029 구현·단위테스트</t>
  </si>
  <si>
    <t>6.7.3</t>
  </si>
  <si>
    <t xml:space="preserve">        [FS030] 핵심 이슈 선정 및 제공</t>
  </si>
  <si>
    <t>FS030 구현·단위테스트</t>
  </si>
  <si>
    <t>6.7.4</t>
  </si>
  <si>
    <t xml:space="preserve">        [FS031] 시장 변수 제공</t>
  </si>
  <si>
    <t>FS031 구현·단위테스트</t>
  </si>
  <si>
    <t>6.7.5</t>
  </si>
  <si>
    <t xml:space="preserve">        [FS032] 관계 그래프 조회</t>
  </si>
  <si>
    <t>FS032 구현·단위테스트</t>
  </si>
  <si>
    <t>6.7.6</t>
  </si>
  <si>
    <t xml:space="preserve">        [FS033] 공통 브리핑 조회</t>
  </si>
  <si>
    <t>FS033 구현·단위테스트</t>
  </si>
  <si>
    <t>6.7.7</t>
  </si>
  <si>
    <t xml:space="preserve">        [FS034] 중복 발행 방지</t>
  </si>
  <si>
    <t>FS034 구현·단위테스트</t>
  </si>
  <si>
    <t>6.7.8</t>
  </si>
  <si>
    <t xml:space="preserve">        [FS035] 브리핑 이력 보존</t>
  </si>
  <si>
    <t>FS035 구현·단위테스트</t>
  </si>
  <si>
    <t>6.7.9</t>
  </si>
  <si>
    <t xml:space="preserve">        [FS036] 개인화 브리핑 조회</t>
  </si>
  <si>
    <t>P2</t>
  </si>
  <si>
    <t>FS036 구현·단위테스트</t>
  </si>
  <si>
    <t>6.7.10</t>
  </si>
  <si>
    <t xml:space="preserve">        [FS037] 좋아요/싫어요 등록</t>
  </si>
  <si>
    <t>FS037 구현·단위테스트</t>
  </si>
  <si>
    <t>6.8</t>
  </si>
  <si>
    <t xml:space="preserve">    AI 챗봇</t>
  </si>
  <si>
    <t>6.8.1</t>
  </si>
  <si>
    <t xml:space="preserve">        [FS045] AI 질문 진입·맥락 전달</t>
  </si>
  <si>
    <t>FS045 구현·단위테스트</t>
  </si>
  <si>
    <t>6.8.2</t>
  </si>
  <si>
    <t xml:space="preserve">        [FS046] 질문 대상·기간 해석·되묻기</t>
  </si>
  <si>
    <t>FS046 구현·단위테스트</t>
  </si>
  <si>
    <t>6.8.3</t>
  </si>
  <si>
    <t xml:space="preserve">        [FS047] 근거·관계 그래프 맥락 조회</t>
  </si>
  <si>
    <t>FS047 구현·단위테스트</t>
  </si>
  <si>
    <t>6.8.4</t>
  </si>
  <si>
    <t xml:space="preserve">        [FS048] 근거 기반 답변 생성·안전 검증</t>
  </si>
  <si>
    <t>FS048 구현·단위테스트</t>
  </si>
  <si>
    <t>6.8.5</t>
  </si>
  <si>
    <t xml:space="preserve">        [FS049] 답변 근거·관련 그래프 탐색</t>
  </si>
  <si>
    <t>FS049 구현·단위테스트</t>
  </si>
  <si>
    <t>6.8.6</t>
  </si>
  <si>
    <t xml:space="preserve">        [FS050] 새 대화·후속 질문</t>
  </si>
  <si>
    <t>FS050 구현·단위테스트</t>
  </si>
  <si>
    <t>6.8.7</t>
  </si>
  <si>
    <t xml:space="preserve">        [FS051] 패널 상태 유지·결과 재조회</t>
  </si>
  <si>
    <t>FS051 구현·단위테스트</t>
  </si>
  <si>
    <t>6.8.8</t>
  </si>
  <si>
    <t xml:space="preserve">        [FS052] 대화와 내부 패널 유지</t>
  </si>
  <si>
    <t>FS051 내부 처리</t>
  </si>
  <si>
    <t>6.8.9</t>
  </si>
  <si>
    <t xml:space="preserve">        [FS053] AI 결과 회수와 재시도</t>
  </si>
  <si>
    <t>6.9</t>
  </si>
  <si>
    <t xml:space="preserve">    관리자</t>
  </si>
  <si>
    <t>6.9.1</t>
  </si>
  <si>
    <t xml:space="preserve">        [FS065] 기업 및 사용자 통계 조사 및 확인</t>
  </si>
  <si>
    <t>FS065 구현·단위테스트</t>
  </si>
  <si>
    <t>6.9.2</t>
  </si>
  <si>
    <t xml:space="preserve">        [FS066] AI 대화록·뉴스 요약·브리핑 선호도 확인</t>
  </si>
  <si>
    <t>FS066 구현·단위테스트</t>
  </si>
  <si>
    <t>6.9.3</t>
  </si>
  <si>
    <t xml:space="preserve">        [FS067] AI 이슈 상태 확인 및 보류 이슈 검수</t>
  </si>
  <si>
    <t>FS067 구현·단위테스트</t>
  </si>
  <si>
    <t>6.9.4</t>
  </si>
  <si>
    <t xml:space="preserve">        [FS068] AI 사용량·비용·오류 통계</t>
  </si>
  <si>
    <t>FS068 구현·단위테스트</t>
  </si>
  <si>
    <t>6.9.5</t>
  </si>
  <si>
    <t xml:space="preserve">        [FS069] 회원 관리</t>
  </si>
  <si>
    <t>FS069 구현·단위테스트</t>
  </si>
  <si>
    <t>6.9.6</t>
  </si>
  <si>
    <t xml:space="preserve">        [FS070] 회차별 생성·검증·발행 상태 조회</t>
  </si>
  <si>
    <t>FS070 구현·단위테스트</t>
  </si>
  <si>
    <t>6.9.7</t>
  </si>
  <si>
    <t xml:space="preserve">        [FS071] 발행 브리핑 정정 관리</t>
  </si>
  <si>
    <t>FS071 구현·단위테스트</t>
  </si>
  <si>
    <t>6.9.8</t>
  </si>
  <si>
    <t xml:space="preserve">        [FS072] 대시보드</t>
  </si>
  <si>
    <t>FS072 구현·단위테스트</t>
  </si>
  <si>
    <t>6.9.9</t>
  </si>
  <si>
    <t xml:space="preserve">        [FS073] 관리자 로그인(SSO, ID/PW)</t>
  </si>
  <si>
    <t>FS073 구현·단위테스트</t>
  </si>
  <si>
    <t>6.10</t>
  </si>
  <si>
    <t xml:space="preserve">    통합 검증·배포·발표</t>
  </si>
  <si>
    <t>각 영역 기능 완료</t>
  </si>
  <si>
    <t>6.10.1</t>
  </si>
  <si>
    <t xml:space="preserve">        API·스키마 계약 통합 점검</t>
  </si>
  <si>
    <t>통합검증</t>
  </si>
  <si>
    <t>계약 점검 결과</t>
  </si>
  <si>
    <t>6.10.2</t>
  </si>
  <si>
    <t xml:space="preserve">        기능 통합 및 E2E 시나리오 검증</t>
  </si>
  <si>
    <t>E2E 테스트 결과</t>
  </si>
  <si>
    <t>6.10.3</t>
  </si>
  <si>
    <t xml:space="preserve">        AI·GraphDB 결과 품질 및 회귀 검증</t>
  </si>
  <si>
    <t>품질·회귀 검증 결과</t>
  </si>
  <si>
    <t>6.10.4</t>
  </si>
  <si>
    <t xml:space="preserve">        보안·성능 점검</t>
  </si>
  <si>
    <t>품질검증</t>
  </si>
  <si>
    <t>비기능 점검 결과</t>
  </si>
  <si>
    <t>6.10.5</t>
  </si>
  <si>
    <t xml:space="preserve">        결함 수정·배포</t>
  </si>
  <si>
    <t>배포</t>
  </si>
  <si>
    <t>배포본·인수 결과</t>
  </si>
  <si>
    <t>6.10.6</t>
  </si>
  <si>
    <t xml:space="preserve">        시연 영상 및 발표 PPT 제작</t>
  </si>
  <si>
    <t>발표준비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</si>
</sst>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%"/>
  </numFmts>
  <fonts count="28">
    <font>
      <sz val="11.0"/>
      <color theme="1"/>
      <name val="Calibri"/>
      <scheme val="minor"/>
    </font>
    <font>
      <b/>
      <sz val="20.0"/>
      <color rgb="FF1F3864"/>
      <name val="Arial"/>
    </font>
    <font>
      <b/>
      <sz val="16.0"/>
      <color theme="1"/>
      <name val="Arial"/>
    </font>
    <font>
      <b/>
      <sz val="11.0"/>
      <color rgb="FFFFFFFF"/>
      <name val="Calibri"/>
    </font>
    <font>
      <sz val="11.0"/>
      <color theme="1"/>
      <name val="Calibri"/>
    </font>
    <font>
      <sz val="11.0"/>
      <color rgb="FF1F3864"/>
      <name val="Calibri"/>
    </font>
    <font>
      <color theme="1"/>
      <name val="Calibri"/>
      <scheme val="minor"/>
    </font>
    <font>
      <sz val="12.0"/>
      <color rgb="FF595959"/>
      <name val="Arial"/>
    </font>
    <font>
      <b/>
      <sz val="12.0"/>
      <color rgb="FF1F3864"/>
      <name val="Arial"/>
    </font>
    <font>
      <b/>
      <sz val="10.0"/>
      <color rgb="FF305496"/>
      <name val="Arial"/>
    </font>
    <font>
      <b/>
      <sz val="10.0"/>
      <color rgb="FF1F3864"/>
      <name val="Arial"/>
    </font>
    <font>
      <sz val="10.0"/>
      <color theme="1"/>
      <name val="Arial"/>
    </font>
    <font>
      <sz val="11.0"/>
      <color rgb="FF222222"/>
      <name val="Calibri"/>
    </font>
    <font/>
    <font>
      <b/>
      <sz val="11.0"/>
      <color rgb="FF305496"/>
      <name val="Arial"/>
    </font>
    <font>
      <b/>
      <sz val="10.0"/>
      <color rgb="FFFFFFFF"/>
      <name val="Arial"/>
    </font>
    <font>
      <b/>
      <sz val="11.0"/>
      <color rgb="FF1F3864"/>
      <name val="Calibri"/>
    </font>
    <font>
      <sz val="9.0"/>
      <color theme="1"/>
      <name val="Arial"/>
    </font>
    <font>
      <sz val="9.0"/>
      <color rgb="FF222222"/>
      <name val="Arial"/>
    </font>
    <font>
      <sz val="9.0"/>
      <color rgb="FF222222"/>
      <name val="Malgun Gothic"/>
    </font>
    <font>
      <sz val="7.0"/>
      <color theme="1"/>
      <name val="Arial"/>
    </font>
    <font>
      <b/>
      <sz val="10.0"/>
      <color theme="1"/>
      <name val="Malgun Gothic"/>
    </font>
    <font>
      <b/>
      <sz val="9.0"/>
      <color rgb="FF1F3864"/>
      <name val="Arial"/>
    </font>
    <font>
      <b/>
      <sz val="10.0"/>
      <color theme="1"/>
      <name val="Arial"/>
    </font>
    <font>
      <b/>
      <sz val="8.0"/>
      <color rgb="FFFFFFFF"/>
      <name val="Arial"/>
    </font>
    <font>
      <b/>
      <sz val="7.0"/>
      <color rgb="FFC00000"/>
      <name val="Arial"/>
    </font>
    <font>
      <b/>
      <sz val="7.0"/>
      <color rgb="FFFFFFFF"/>
      <name val="Arial"/>
    </font>
    <font>
      <b/>
      <sz val="9.0"/>
      <color rgb="FF222222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D9EAF7"/>
        <bgColor rgb="FFD9EAF7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1F3864"/>
        <bgColor rgb="FF1F3864"/>
      </patternFill>
    </fill>
    <fill>
      <patternFill patternType="solid">
        <fgColor rgb="FFBDD7EE"/>
        <bgColor rgb="FFBDD7EE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8EA9DB"/>
        <bgColor rgb="FF8EA9DB"/>
      </patternFill>
    </fill>
    <fill>
      <patternFill patternType="solid">
        <fgColor rgb="FFE7E6E6"/>
        <bgColor rgb="FFE7E6E6"/>
      </patternFill>
    </fill>
    <fill>
      <patternFill patternType="solid">
        <fgColor rgb="FF5B9BD5"/>
        <bgColor rgb="FF5B9BD5"/>
      </patternFill>
    </fill>
    <fill>
      <patternFill patternType="solid">
        <fgColor rgb="FFEDF2FA"/>
        <bgColor rgb="FFEDF2FA"/>
      </patternFill>
    </fill>
    <fill>
      <patternFill patternType="solid">
        <fgColor rgb="FFED7D31"/>
        <bgColor rgb="FFED7D31"/>
      </patternFill>
    </fill>
    <fill>
      <patternFill patternType="solid">
        <fgColor rgb="FF2F5597"/>
        <bgColor rgb="FF2F5597"/>
      </patternFill>
    </fill>
    <fill>
      <patternFill patternType="solid">
        <fgColor rgb="FF9DC3E6"/>
        <bgColor rgb="FF9DC3E6"/>
      </patternFill>
    </fill>
    <fill>
      <patternFill patternType="solid">
        <fgColor rgb="FF7F8C8D"/>
        <bgColor rgb="FF7F8C8D"/>
      </patternFill>
    </fill>
    <fill>
      <patternFill patternType="solid">
        <fgColor rgb="FFE2F0D9"/>
        <bgColor rgb="FFE2F0D9"/>
      </patternFill>
    </fill>
    <fill>
      <patternFill patternType="solid">
        <fgColor rgb="FF70AD47"/>
        <bgColor rgb="FF70AD47"/>
      </patternFill>
    </fill>
    <fill>
      <patternFill patternType="solid">
        <fgColor rgb="FFA5A5A5"/>
        <bgColor rgb="FFA5A5A5"/>
      </patternFill>
    </fill>
    <fill>
      <patternFill patternType="solid">
        <fgColor rgb="FF8064A2"/>
        <bgColor rgb="FF8064A2"/>
      </patternFill>
    </fill>
    <fill>
      <patternFill patternType="solid">
        <fgColor rgb="FFC55A11"/>
        <bgColor rgb="FFC55A11"/>
      </patternFill>
    </fill>
  </fills>
  <borders count="18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D8D8D8"/>
      </right>
      <top style="thin">
        <color rgb="FFBFBFBF"/>
      </top>
      <bottom style="thin">
        <color rgb="FFBFBFBF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rgb="FFBFBFBF"/>
      </left>
      <right style="thin">
        <color rgb="FFD8D8D8"/>
      </right>
      <top style="thin">
        <color rgb="FFBFBFBF"/>
      </top>
      <bottom style="thin">
        <color rgb="FFBFBFBF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7F7F7F"/>
      </left>
      <top style="thin">
        <color rgb="FFD0D0D0"/>
      </top>
      <bottom style="thin">
        <color rgb="FFD0D0D0"/>
      </bottom>
    </border>
    <border>
      <left style="medium">
        <color rgb="FF404040"/>
      </left>
      <top style="thin">
        <color rgb="FFD0D0D0"/>
      </top>
      <bottom style="thin">
        <color rgb="FFD0D0D0"/>
      </bottom>
    </border>
    <border>
      <left style="thin">
        <color rgb="FF7F7F7F"/>
      </left>
      <top style="thin">
        <color rgb="FF7F7F7F"/>
      </top>
      <bottom style="thin">
        <color rgb="FFD0D0D0"/>
      </bottom>
    </border>
    <border>
      <top style="thin">
        <color rgb="FF7F7F7F"/>
      </top>
      <bottom style="thin">
        <color rgb="FFD0D0D0"/>
      </bottom>
    </border>
    <border>
      <right style="thin">
        <color rgb="FFD0D0D0"/>
      </right>
      <top style="thin">
        <color rgb="FF7F7F7F"/>
      </top>
      <bottom style="thin">
        <color rgb="FFD0D0D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2" fontId="3" numFmtId="0" xfId="0" applyAlignment="1" applyFill="1" applyFont="1">
      <alignment horizontal="left" vertical="center"/>
    </xf>
    <xf borderId="0" fillId="0" fontId="4" numFmtId="0" xfId="0" applyAlignment="1" applyFont="1">
      <alignment horizontal="center"/>
    </xf>
    <xf borderId="0" fillId="3" fontId="5" numFmtId="0" xfId="0" applyAlignment="1" applyFill="1" applyFont="1">
      <alignment vertical="center"/>
    </xf>
    <xf borderId="0" fillId="0" fontId="6" numFmtId="10" xfId="0" applyFont="1" applyNumberFormat="1"/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1" fillId="4" fontId="3" numFmtId="0" xfId="0" applyAlignment="1" applyBorder="1" applyFill="1" applyFont="1">
      <alignment horizontal="center" vertical="center"/>
    </xf>
    <xf borderId="0" fillId="0" fontId="9" numFmtId="0" xfId="0" applyFont="1"/>
    <xf borderId="2" fillId="5" fontId="10" numFmtId="0" xfId="0" applyAlignment="1" applyBorder="1" applyFill="1" applyFont="1">
      <alignment horizontal="center" vertical="center"/>
    </xf>
    <xf borderId="0" fillId="0" fontId="11" numFmtId="0" xfId="0" applyFont="1"/>
    <xf borderId="1" fillId="0" fontId="12" numFmtId="0" xfId="0" applyAlignment="1" applyBorder="1" applyFont="1">
      <alignment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3" fillId="0" fontId="11" numFmtId="0" xfId="0" applyAlignment="1" applyBorder="1" applyFont="1">
      <alignment horizontal="center" vertical="center"/>
    </xf>
    <xf borderId="4" fillId="0" fontId="13" numFmtId="0" xfId="0" applyBorder="1" applyFont="1"/>
    <xf borderId="5" fillId="0" fontId="13" numFmtId="0" xfId="0" applyBorder="1" applyFont="1"/>
    <xf borderId="1" fillId="0" fontId="12" numFmtId="164" xfId="0" applyAlignment="1" applyBorder="1" applyFont="1" applyNumberFormat="1">
      <alignment horizontal="center" shrinkToFit="0" vertical="center" wrapText="1"/>
    </xf>
    <xf borderId="6" fillId="0" fontId="14" numFmtId="0" xfId="0" applyBorder="1" applyFont="1"/>
    <xf borderId="3" fillId="0" fontId="11" numFmtId="164" xfId="0" applyAlignment="1" applyBorder="1" applyFont="1" applyNumberFormat="1">
      <alignment horizontal="center" vertical="center"/>
    </xf>
    <xf borderId="2" fillId="6" fontId="15" numFmtId="0" xfId="0" applyAlignment="1" applyBorder="1" applyFill="1" applyFont="1">
      <alignment horizontal="center" vertical="center"/>
    </xf>
    <xf borderId="7" fillId="6" fontId="15" numFmtId="0" xfId="0" applyAlignment="1" applyBorder="1" applyFill="1" applyFont="1">
      <alignment horizontal="center" vertical="center"/>
    </xf>
    <xf borderId="8" fillId="7" fontId="16" numFmtId="0" xfId="0" applyBorder="1" applyFill="1" applyFont="1"/>
    <xf borderId="9" fillId="0" fontId="13" numFmtId="0" xfId="0" applyBorder="1" applyFont="1"/>
    <xf borderId="2" fillId="0" fontId="17" numFmtId="0" xfId="0" applyAlignment="1" applyBorder="1" applyFont="1">
      <alignment horizontal="center" vertical="center"/>
    </xf>
    <xf borderId="2" fillId="0" fontId="17" numFmtId="164" xfId="0" applyAlignment="1" applyBorder="1" applyFont="1" applyNumberFormat="1">
      <alignment horizontal="center" vertical="center"/>
    </xf>
    <xf borderId="10" fillId="0" fontId="13" numFmtId="0" xfId="0" applyBorder="1" applyFont="1"/>
    <xf borderId="7" fillId="0" fontId="17" numFmtId="0" xfId="0" applyAlignment="1" applyBorder="1" applyFont="1">
      <alignment shrinkToFit="0" vertical="center" wrapText="1"/>
    </xf>
    <xf borderId="8" fillId="0" fontId="12" numFmtId="0" xfId="0" applyAlignment="1" applyBorder="1" applyFont="1">
      <alignment shrinkToFit="0" vertical="center" wrapText="1"/>
    </xf>
    <xf borderId="0" fillId="8" fontId="15" numFmtId="0" xfId="0" applyAlignment="1" applyFill="1" applyFont="1">
      <alignment horizontal="center" vertical="center"/>
    </xf>
    <xf borderId="1" fillId="9" fontId="18" numFmtId="0" xfId="0" applyAlignment="1" applyBorder="1" applyFill="1" applyFont="1">
      <alignment horizontal="center" vertical="center"/>
    </xf>
    <xf borderId="1" fillId="9" fontId="18" numFmtId="164" xfId="0" applyAlignment="1" applyBorder="1" applyFill="1" applyFont="1" applyNumberFormat="1">
      <alignment horizontal="center" vertical="center"/>
    </xf>
    <xf borderId="1" fillId="9" fontId="19" numFmtId="0" xfId="0" applyAlignment="1" applyBorder="1" applyFill="1" applyFont="1">
      <alignment horizontal="center" vertical="center"/>
    </xf>
    <xf borderId="6" fillId="10" fontId="14" numFmtId="10" xfId="0" applyBorder="1" applyFill="1" applyFont="1" applyNumberFormat="1"/>
    <xf borderId="1" fillId="9" fontId="18" numFmtId="0" xfId="0" applyAlignment="1" applyBorder="1" applyFill="1" applyFont="1">
      <alignment shrinkToFit="0" vertical="center" wrapText="1"/>
    </xf>
    <xf borderId="0" fillId="8" fontId="17" numFmtId="0" xfId="0" applyAlignment="1" applyFill="1" applyFont="1">
      <alignment horizontal="center" vertical="center"/>
    </xf>
    <xf borderId="2" fillId="0" fontId="17" numFmtId="0" xfId="0" applyAlignment="1" applyBorder="1" applyFont="1">
      <alignment vertical="center"/>
    </xf>
    <xf borderId="7" fillId="0" fontId="17" numFmtId="0" xfId="0" applyAlignment="1" applyBorder="1" applyFont="1">
      <alignment vertical="center"/>
    </xf>
    <xf borderId="0" fillId="8" fontId="17" numFmtId="0" xfId="0" applyAlignment="1" applyFill="1" applyFont="1">
      <alignment vertical="center"/>
    </xf>
    <xf borderId="0" fillId="6" fontId="15" numFmtId="0" xfId="0" applyAlignment="1" applyFill="1" applyFont="1">
      <alignment horizontal="center" vertical="center"/>
    </xf>
    <xf borderId="3" fillId="0" fontId="17" numFmtId="0" xfId="0" applyAlignment="1" applyBorder="1" applyFont="1">
      <alignment horizontal="center" vertical="center"/>
    </xf>
    <xf borderId="11" fillId="0" fontId="13" numFmtId="0" xfId="0" applyBorder="1" applyFont="1"/>
    <xf borderId="6" fillId="10" fontId="14" numFmtId="165" xfId="0" applyBorder="1" applyFill="1" applyFont="1" applyNumberFormat="1"/>
    <xf borderId="1" fillId="9" fontId="12" numFmtId="0" xfId="0" applyAlignment="1" applyBorder="1" applyFill="1" applyFont="1">
      <alignment vertical="center"/>
    </xf>
    <xf borderId="0" fillId="0" fontId="20" numFmtId="0" xfId="0" applyFont="1"/>
    <xf borderId="0" fillId="0" fontId="20" numFmtId="164" xfId="0" applyFont="1" applyNumberFormat="1"/>
    <xf borderId="0" fillId="7" fontId="21" numFmtId="0" xfId="0" applyAlignment="1" applyFill="1" applyFont="1">
      <alignment horizontal="center"/>
    </xf>
    <xf borderId="12" fillId="7" fontId="22" numFmtId="0" xfId="0" applyAlignment="1" applyBorder="1" applyFill="1" applyFont="1">
      <alignment horizontal="center" vertical="center"/>
    </xf>
    <xf borderId="13" fillId="7" fontId="22" numFmtId="0" xfId="0" applyAlignment="1" applyBorder="1" applyFill="1" applyFont="1">
      <alignment horizontal="center" vertical="center"/>
    </xf>
    <xf borderId="0" fillId="11" fontId="23" numFmtId="0" xfId="0" applyAlignment="1" applyFill="1" applyFont="1">
      <alignment horizontal="center"/>
    </xf>
    <xf borderId="14" fillId="11" fontId="24" numFmtId="0" xfId="0" applyAlignment="1" applyBorder="1" applyFill="1" applyFont="1">
      <alignment horizontal="center" shrinkToFit="0" vertical="center" wrapText="1"/>
    </xf>
    <xf borderId="15" fillId="0" fontId="13" numFmtId="0" xfId="0" applyBorder="1" applyFont="1"/>
    <xf borderId="16" fillId="0" fontId="13" numFmtId="0" xfId="0" applyBorder="1" applyFont="1"/>
    <xf borderId="1" fillId="2" fontId="15" numFmtId="0" xfId="0" applyAlignment="1" applyBorder="1" applyFill="1" applyFont="1">
      <alignment horizontal="center" vertical="center"/>
    </xf>
    <xf borderId="1" fillId="2" fontId="15" numFmtId="10" xfId="0" applyAlignment="1" applyBorder="1" applyFill="1" applyFont="1" applyNumberFormat="1">
      <alignment horizontal="center" vertical="center"/>
    </xf>
    <xf borderId="1" fillId="12" fontId="25" numFmtId="0" xfId="0" applyAlignment="1" applyBorder="1" applyFill="1" applyFont="1">
      <alignment horizontal="center" shrinkToFit="0" vertical="center" wrapText="1"/>
    </xf>
    <xf borderId="1" fillId="2" fontId="26" numFmtId="0" xfId="0" applyAlignment="1" applyBorder="1" applyFill="1" applyFont="1">
      <alignment horizontal="center" shrinkToFit="0" vertical="center" wrapText="1"/>
    </xf>
    <xf borderId="1" fillId="7" fontId="22" numFmtId="0" xfId="0" applyAlignment="1" applyBorder="1" applyFill="1" applyFont="1">
      <alignment horizontal="left" vertical="center"/>
    </xf>
    <xf borderId="1" fillId="7" fontId="22" numFmtId="0" xfId="0" applyAlignment="1" applyBorder="1" applyFill="1" applyFont="1">
      <alignment horizontal="center" vertical="center"/>
    </xf>
    <xf borderId="1" fillId="7" fontId="22" numFmtId="0" xfId="0" applyAlignment="1" applyBorder="1" applyFill="1" applyFont="1">
      <alignment horizontal="left" shrinkToFit="0" vertical="center" wrapText="1"/>
    </xf>
    <xf borderId="1" fillId="7" fontId="22" numFmtId="164" xfId="0" applyAlignment="1" applyBorder="1" applyFill="1" applyFont="1" applyNumberFormat="1">
      <alignment horizontal="center" vertical="center"/>
    </xf>
    <xf borderId="1" fillId="7" fontId="22" numFmtId="10" xfId="0" applyAlignment="1" applyBorder="1" applyFill="1" applyFont="1" applyNumberFormat="1">
      <alignment horizontal="center" vertical="center"/>
    </xf>
    <xf borderId="1" fillId="7" fontId="22" numFmtId="165" xfId="0" applyAlignment="1" applyBorder="1" applyFill="1" applyFont="1" applyNumberFormat="1">
      <alignment horizontal="center" vertical="center"/>
    </xf>
    <xf borderId="17" fillId="13" fontId="4" numFmtId="0" xfId="0" applyBorder="1" applyFill="1" applyFont="1"/>
    <xf borderId="17" fillId="5" fontId="4" numFmtId="0" xfId="0" applyBorder="1" applyFill="1" applyFont="1"/>
    <xf borderId="17" fillId="9" fontId="4" numFmtId="0" xfId="0" applyBorder="1" applyFill="1" applyFont="1"/>
    <xf borderId="1" fillId="14" fontId="27" numFmtId="0" xfId="0" applyAlignment="1" applyBorder="1" applyFill="1" applyFont="1">
      <alignment horizontal="left" vertical="center"/>
    </xf>
    <xf borderId="1" fillId="14" fontId="27" numFmtId="0" xfId="0" applyAlignment="1" applyBorder="1" applyFill="1" applyFont="1">
      <alignment horizontal="center" vertical="center"/>
    </xf>
    <xf borderId="1" fillId="14" fontId="27" numFmtId="0" xfId="0" applyAlignment="1" applyBorder="1" applyFill="1" applyFont="1">
      <alignment horizontal="left" shrinkToFit="0" vertical="center" wrapText="1"/>
    </xf>
    <xf borderId="1" fillId="10" fontId="27" numFmtId="0" xfId="0" applyAlignment="1" applyBorder="1" applyFill="1" applyFont="1">
      <alignment horizontal="left" shrinkToFit="0" vertical="center" wrapText="1"/>
    </xf>
    <xf borderId="1" fillId="14" fontId="27" numFmtId="164" xfId="0" applyAlignment="1" applyBorder="1" applyFill="1" applyFont="1" applyNumberFormat="1">
      <alignment horizontal="center" vertical="center"/>
    </xf>
    <xf borderId="1" fillId="14" fontId="27" numFmtId="10" xfId="0" applyAlignment="1" applyBorder="1" applyFill="1" applyFont="1" applyNumberFormat="1">
      <alignment horizontal="center" vertical="center"/>
    </xf>
    <xf borderId="1" fillId="10" fontId="27" numFmtId="165" xfId="0" applyAlignment="1" applyBorder="1" applyFill="1" applyFont="1" applyNumberFormat="1">
      <alignment horizontal="center" vertical="center"/>
    </xf>
    <xf borderId="17" fillId="7" fontId="4" numFmtId="0" xfId="0" applyBorder="1" applyFill="1" applyFont="1"/>
    <xf borderId="1" fillId="0" fontId="18" numFmtId="0" xfId="0" applyAlignment="1" applyBorder="1" applyFont="1">
      <alignment horizontal="left" vertical="center"/>
    </xf>
    <xf borderId="1" fillId="0" fontId="18" numFmtId="0" xfId="0" applyAlignment="1" applyBorder="1" applyFont="1">
      <alignment horizontal="center" vertical="center"/>
    </xf>
    <xf borderId="1" fillId="0" fontId="18" numFmtId="0" xfId="0" applyAlignment="1" applyBorder="1" applyFont="1">
      <alignment horizontal="left" shrinkToFit="0" vertical="center" wrapText="1"/>
    </xf>
    <xf borderId="1" fillId="10" fontId="18" numFmtId="0" xfId="0" applyAlignment="1" applyBorder="1" applyFill="1" applyFont="1">
      <alignment horizontal="left" shrinkToFit="0" vertical="center" wrapText="1"/>
    </xf>
    <xf borderId="1" fillId="0" fontId="18" numFmtId="164" xfId="0" applyAlignment="1" applyBorder="1" applyFont="1" applyNumberFormat="1">
      <alignment horizontal="center" vertical="center"/>
    </xf>
    <xf borderId="1" fillId="0" fontId="18" numFmtId="10" xfId="0" applyAlignment="1" applyBorder="1" applyFont="1" applyNumberFormat="1">
      <alignment horizontal="center" vertical="center"/>
    </xf>
    <xf borderId="1" fillId="10" fontId="18" numFmtId="165" xfId="0" applyAlignment="1" applyBorder="1" applyFill="1" applyFont="1" applyNumberFormat="1">
      <alignment horizontal="center" vertical="center"/>
    </xf>
    <xf borderId="17" fillId="15" fontId="4" numFmtId="0" xfId="0" applyBorder="1" applyFill="1" applyFont="1"/>
    <xf borderId="1" fillId="0" fontId="27" numFmtId="0" xfId="0" applyAlignment="1" applyBorder="1" applyFont="1">
      <alignment horizontal="left" vertical="center"/>
    </xf>
    <xf borderId="1" fillId="0" fontId="27" numFmtId="0" xfId="0" applyAlignment="1" applyBorder="1" applyFont="1">
      <alignment horizontal="center" vertical="center"/>
    </xf>
    <xf borderId="1" fillId="0" fontId="27" numFmtId="0" xfId="0" applyAlignment="1" applyBorder="1" applyFont="1">
      <alignment horizontal="left" shrinkToFit="0" vertical="center" wrapText="1"/>
    </xf>
    <xf borderId="1" fillId="0" fontId="27" numFmtId="164" xfId="0" applyAlignment="1" applyBorder="1" applyFont="1" applyNumberFormat="1">
      <alignment horizontal="center" readingOrder="0" vertical="center"/>
    </xf>
    <xf borderId="1" fillId="0" fontId="18" numFmtId="10" xfId="0" applyAlignment="1" applyBorder="1" applyFont="1" applyNumberFormat="1">
      <alignment horizontal="center" readingOrder="0" vertical="center"/>
    </xf>
    <xf borderId="1" fillId="0" fontId="18" numFmtId="164" xfId="0" applyAlignment="1" applyBorder="1" applyFont="1" applyNumberFormat="1">
      <alignment horizontal="center" readingOrder="0" vertical="center"/>
    </xf>
    <xf borderId="1" fillId="0" fontId="27" numFmtId="10" xfId="0" applyAlignment="1" applyBorder="1" applyFont="1" applyNumberFormat="1">
      <alignment horizontal="center" readingOrder="0" vertical="center"/>
    </xf>
    <xf borderId="1" fillId="9" fontId="27" numFmtId="0" xfId="0" applyAlignment="1" applyBorder="1" applyFill="1" applyFont="1">
      <alignment horizontal="left" vertical="center"/>
    </xf>
    <xf borderId="1" fillId="9" fontId="27" numFmtId="0" xfId="0" applyAlignment="1" applyBorder="1" applyFill="1" applyFont="1">
      <alignment horizontal="center" vertical="center"/>
    </xf>
    <xf borderId="1" fillId="9" fontId="27" numFmtId="0" xfId="0" applyAlignment="1" applyBorder="1" applyFill="1" applyFont="1">
      <alignment horizontal="left" shrinkToFit="0" vertical="center" wrapText="1"/>
    </xf>
    <xf borderId="1" fillId="9" fontId="27" numFmtId="164" xfId="0" applyAlignment="1" applyBorder="1" applyFill="1" applyFont="1" applyNumberFormat="1">
      <alignment horizontal="center" readingOrder="0" vertical="center"/>
    </xf>
    <xf borderId="1" fillId="9" fontId="27" numFmtId="10" xfId="0" applyAlignment="1" applyBorder="1" applyFill="1" applyFont="1" applyNumberFormat="1">
      <alignment horizontal="center" readingOrder="0" vertical="center"/>
    </xf>
    <xf borderId="1" fillId="9" fontId="18" numFmtId="0" xfId="0" applyAlignment="1" applyBorder="1" applyFill="1" applyFont="1">
      <alignment horizontal="left" vertical="center"/>
    </xf>
    <xf borderId="1" fillId="9" fontId="18" numFmtId="0" xfId="0" applyAlignment="1" applyBorder="1" applyFill="1" applyFont="1">
      <alignment horizontal="left" shrinkToFit="0" vertical="center" wrapText="1"/>
    </xf>
    <xf borderId="1" fillId="9" fontId="18" numFmtId="164" xfId="0" applyAlignment="1" applyBorder="1" applyFill="1" applyFont="1" applyNumberFormat="1">
      <alignment horizontal="center" readingOrder="0" vertical="center"/>
    </xf>
    <xf borderId="1" fillId="9" fontId="18" numFmtId="10" xfId="0" applyAlignment="1" applyBorder="1" applyFill="1" applyFont="1" applyNumberFormat="1">
      <alignment horizontal="center" readingOrder="0" vertical="center"/>
    </xf>
    <xf borderId="1" fillId="9" fontId="18" numFmtId="10" xfId="0" applyAlignment="1" applyBorder="1" applyFill="1" applyFont="1" applyNumberFormat="1">
      <alignment horizontal="center" vertical="center"/>
    </xf>
    <xf borderId="1" fillId="9" fontId="27" numFmtId="164" xfId="0" applyAlignment="1" applyBorder="1" applyFill="1" applyFont="1" applyNumberFormat="1">
      <alignment horizontal="center" vertical="center"/>
    </xf>
    <xf borderId="1" fillId="9" fontId="27" numFmtId="10" xfId="0" applyAlignment="1" applyBorder="1" applyFill="1" applyFont="1" applyNumberFormat="1">
      <alignment horizontal="center" vertical="center"/>
    </xf>
    <xf borderId="1" fillId="7" fontId="16" numFmtId="0" xfId="0" applyAlignment="1" applyBorder="1" applyFill="1" applyFont="1">
      <alignment horizontal="left" vertical="center"/>
    </xf>
    <xf borderId="1" fillId="7" fontId="16" numFmtId="0" xfId="0" applyAlignment="1" applyBorder="1" applyFill="1" applyFont="1">
      <alignment horizontal="center" vertical="center"/>
    </xf>
    <xf borderId="1" fillId="7" fontId="16" numFmtId="0" xfId="0" applyAlignment="1" applyBorder="1" applyFill="1" applyFont="1">
      <alignment shrinkToFit="0" vertical="center" wrapText="1"/>
    </xf>
    <xf borderId="1" fillId="7" fontId="16" numFmtId="0" xfId="0" applyAlignment="1" applyBorder="1" applyFill="1" applyFont="1">
      <alignment vertical="center"/>
    </xf>
    <xf borderId="1" fillId="7" fontId="16" numFmtId="164" xfId="0" applyAlignment="1" applyBorder="1" applyFill="1" applyFont="1" applyNumberFormat="1">
      <alignment horizontal="center" vertical="center"/>
    </xf>
    <xf borderId="1" fillId="7" fontId="16" numFmtId="10" xfId="0" applyAlignment="1" applyBorder="1" applyFill="1" applyFont="1" applyNumberFormat="1">
      <alignment horizontal="center" vertical="center"/>
    </xf>
    <xf borderId="1" fillId="7" fontId="16" numFmtId="165" xfId="0" applyAlignment="1" applyBorder="1" applyFill="1" applyFont="1" applyNumberFormat="1">
      <alignment horizontal="center" vertical="center"/>
    </xf>
    <xf borderId="1" fillId="5" fontId="4" numFmtId="0" xfId="0" applyBorder="1" applyFill="1" applyFont="1"/>
    <xf borderId="1" fillId="9" fontId="4" numFmtId="0" xfId="0" applyBorder="1" applyFill="1" applyFont="1"/>
    <xf borderId="1" fillId="16" fontId="4" numFmtId="0" xfId="0" applyBorder="1" applyFill="1" applyFont="1"/>
    <xf borderId="1" fillId="17" fontId="4" numFmtId="0" xfId="0" applyBorder="1" applyFill="1" applyFont="1"/>
    <xf borderId="1" fillId="9" fontId="12" numFmtId="0" xfId="0" applyAlignment="1" applyBorder="1" applyFill="1" applyFont="1">
      <alignment horizontal="center" vertical="center"/>
    </xf>
    <xf borderId="1" fillId="9" fontId="12" numFmtId="0" xfId="0" applyAlignment="1" applyBorder="1" applyFill="1" applyFont="1">
      <alignment shrinkToFit="0" vertical="center" wrapText="1"/>
    </xf>
    <xf borderId="1" fillId="9" fontId="12" numFmtId="0" xfId="0" applyAlignment="1" applyBorder="1" applyFill="1" applyFont="1">
      <alignment horizontal="center" shrinkToFit="0" vertical="center" wrapText="1"/>
    </xf>
    <xf borderId="1" fillId="10" fontId="12" numFmtId="0" xfId="0" applyAlignment="1" applyBorder="1" applyFill="1" applyFont="1">
      <alignment shrinkToFit="0" vertical="center" wrapText="1"/>
    </xf>
    <xf borderId="1" fillId="9" fontId="12" numFmtId="164" xfId="0" applyAlignment="1" applyBorder="1" applyFill="1" applyFont="1" applyNumberFormat="1">
      <alignment horizontal="center" readingOrder="0" vertical="center"/>
    </xf>
    <xf borderId="1" fillId="9" fontId="12" numFmtId="10" xfId="0" applyAlignment="1" applyBorder="1" applyFill="1" applyFont="1" applyNumberFormat="1">
      <alignment horizontal="center" readingOrder="0" vertical="center"/>
    </xf>
    <xf borderId="1" fillId="9" fontId="12" numFmtId="165" xfId="0" applyAlignment="1" applyBorder="1" applyFill="1" applyFont="1" applyNumberFormat="1">
      <alignment horizontal="center" vertical="center"/>
    </xf>
    <xf borderId="1" fillId="18" fontId="4" numFmtId="0" xfId="0" applyBorder="1" applyFill="1" applyFont="1"/>
    <xf borderId="1" fillId="19" fontId="12" numFmtId="0" xfId="0" applyAlignment="1" applyBorder="1" applyFill="1" applyFont="1">
      <alignment horizontal="center" readingOrder="0" shrinkToFit="0" vertical="center" wrapText="1"/>
    </xf>
    <xf borderId="1" fillId="13" fontId="4" numFmtId="0" xfId="0" applyBorder="1" applyFill="1" applyFont="1"/>
    <xf borderId="1" fillId="20" fontId="4" numFmtId="0" xfId="0" applyBorder="1" applyFill="1" applyFont="1"/>
    <xf borderId="1" fillId="15" fontId="4" numFmtId="0" xfId="0" applyBorder="1" applyFill="1" applyFont="1"/>
    <xf borderId="1" fillId="4" fontId="4" numFmtId="0" xfId="0" applyBorder="1" applyFill="1" applyFont="1"/>
    <xf borderId="1" fillId="9" fontId="12" numFmtId="0" xfId="0" applyAlignment="1" applyBorder="1" applyFill="1" applyFont="1">
      <alignment readingOrder="0" shrinkToFit="0" vertical="center" wrapText="1"/>
    </xf>
    <xf borderId="1" fillId="21" fontId="4" numFmtId="0" xfId="0" applyBorder="1" applyFill="1" applyFont="1"/>
    <xf borderId="1" fillId="10" fontId="12" numFmtId="0" xfId="0" applyAlignment="1" applyBorder="1" applyFill="1" applyFont="1">
      <alignment horizontal="center" readingOrder="0" shrinkToFit="0" vertical="center" wrapText="1"/>
    </xf>
    <xf borderId="1" fillId="9" fontId="12" numFmtId="164" xfId="0" applyAlignment="1" applyBorder="1" applyFill="1" applyFont="1" applyNumberFormat="1">
      <alignment horizontal="center" vertical="center"/>
    </xf>
    <xf borderId="1" fillId="22" fontId="4" numFmtId="0" xfId="0" applyBorder="1" applyFill="1" applyFont="1"/>
    <xf borderId="1" fillId="23" fontId="4" numFmtId="0" xfId="0" applyBorder="1" applyFill="1" applyFont="1"/>
    <xf borderId="1" fillId="7" fontId="16" numFmtId="0" xfId="0" applyAlignment="1" applyBorder="1" applyFill="1" applyFont="1">
      <alignment readingOrder="0" shrinkToFit="0" vertical="center" wrapText="1"/>
    </xf>
    <xf borderId="1" fillId="9" fontId="12" numFmtId="0" xfId="0" applyAlignment="1" applyBorder="1" applyFill="1" applyFont="1">
      <alignment readingOrder="0" shrinkToFit="0" vertical="center" wrapText="1"/>
    </xf>
    <xf borderId="1" fillId="9" fontId="12" numFmtId="0" xfId="0" applyAlignment="1" applyBorder="1" applyFill="1" applyFont="1">
      <alignment horizontal="center" readingOrder="0" vertical="center"/>
    </xf>
    <xf borderId="1" fillId="9" fontId="12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>
        <b/>
        <sz val="7.0"/>
        <color rgb="FF404040"/>
        <name val="Arial"/>
      </font>
      <fill>
        <patternFill patternType="solid">
          <fgColor rgb="FFBDD7EE"/>
          <bgColor rgb="FFBDD7EE"/>
        </patternFill>
      </fill>
      <border/>
    </dxf>
    <dxf>
      <font>
        <b/>
        <sz val="7.0"/>
        <color rgb="FF404040"/>
        <name val="Arial"/>
      </font>
      <fill>
        <patternFill patternType="solid">
          <fgColor rgb="FF9BC2E6"/>
          <bgColor rgb="FF9BC2E6"/>
        </patternFill>
      </fill>
      <border/>
    </dxf>
    <dxf>
      <font>
        <b/>
        <sz val="7.0"/>
        <color rgb="FFFFFFFF"/>
        <name val="Arial"/>
      </font>
      <fill>
        <patternFill patternType="solid">
          <fgColor rgb="FF5B9BD5"/>
          <bgColor rgb="FF5B9BD5"/>
        </patternFill>
      </fill>
      <border/>
    </dxf>
    <dxf>
      <font>
        <b/>
        <sz val="7.0"/>
        <color rgb="FFFFFFFF"/>
        <name val="Arial"/>
      </font>
      <fill>
        <patternFill patternType="solid">
          <fgColor rgb="FF2E75B6"/>
          <bgColor rgb="FF2E75B6"/>
        </patternFill>
      </fill>
      <border/>
    </dxf>
    <dxf>
      <font>
        <b/>
        <sz val="7.0"/>
        <color rgb="FFFFFFFF"/>
        <name val="Arial"/>
      </font>
      <fill>
        <patternFill patternType="solid">
          <fgColor rgb="FF1F4E79"/>
          <bgColor rgb="FF1F4E7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3.0"/>
    <col customWidth="1" min="3" max="3" width="15.0"/>
    <col customWidth="1" min="4" max="4" width="16.0"/>
    <col customWidth="1" min="5" max="5" width="46.0"/>
    <col customWidth="1" min="6" max="7" width="13.0"/>
    <col customWidth="1" min="8" max="26" width="8.86"/>
  </cols>
  <sheetData>
    <row r="2" ht="25.5" customHeight="1">
      <c r="A2" s="1"/>
    </row>
    <row r="3" ht="19.5" customHeight="1">
      <c r="A3" s="4"/>
    </row>
    <row r="4" ht="15.0" customHeight="1">
      <c r="A4" s="7" t="s">
        <v>3</v>
      </c>
    </row>
    <row r="6" ht="15.0" customHeight="1">
      <c r="B6" s="8" t="s">
        <v>4</v>
      </c>
    </row>
    <row r="7" ht="18.75" customHeight="1">
      <c r="B7" s="11" t="s">
        <v>6</v>
      </c>
      <c r="C7" s="15" t="s">
        <v>15</v>
      </c>
      <c r="D7" s="16"/>
      <c r="E7" s="17"/>
    </row>
    <row r="8" ht="18.75" customHeight="1">
      <c r="B8" s="11" t="s">
        <v>18</v>
      </c>
      <c r="C8" s="15" t="s">
        <v>19</v>
      </c>
      <c r="D8" s="16"/>
      <c r="E8" s="17"/>
    </row>
    <row r="9" ht="18.75" customHeight="1">
      <c r="B9" s="11" t="s">
        <v>24</v>
      </c>
      <c r="C9" s="15" t="s">
        <v>26</v>
      </c>
      <c r="D9" s="16"/>
      <c r="E9" s="17"/>
    </row>
    <row r="10" ht="18.75" customHeight="1">
      <c r="B10" s="11" t="s">
        <v>27</v>
      </c>
      <c r="C10" s="20">
        <v>46297.0</v>
      </c>
      <c r="D10" s="16"/>
      <c r="E10" s="17"/>
    </row>
    <row r="11" ht="18.75" customHeight="1">
      <c r="B11" s="11" t="s">
        <v>28</v>
      </c>
      <c r="C11" s="15" t="s">
        <v>29</v>
      </c>
      <c r="D11" s="16"/>
      <c r="E11" s="17"/>
    </row>
    <row r="12" ht="18.75" customHeight="1">
      <c r="B12" s="11" t="s">
        <v>35</v>
      </c>
      <c r="C12" s="15" t="s">
        <v>36</v>
      </c>
      <c r="D12" s="16"/>
      <c r="E12" s="17"/>
    </row>
    <row r="13" ht="18.75" customHeight="1">
      <c r="B13" s="11" t="s">
        <v>41</v>
      </c>
      <c r="C13" s="15" t="s">
        <v>43</v>
      </c>
      <c r="D13" s="16"/>
      <c r="E13" s="17"/>
    </row>
    <row r="14" ht="18.75" customHeight="1"/>
    <row r="15">
      <c r="B15" s="8" t="s">
        <v>47</v>
      </c>
    </row>
    <row r="16" ht="15.0" customHeight="1">
      <c r="B16" s="21" t="s">
        <v>48</v>
      </c>
      <c r="C16" s="21" t="s">
        <v>50</v>
      </c>
      <c r="D16" s="21" t="s">
        <v>51</v>
      </c>
      <c r="E16" s="22" t="s">
        <v>52</v>
      </c>
    </row>
    <row r="17" ht="21.75" customHeight="1">
      <c r="B17" s="25" t="s">
        <v>53</v>
      </c>
      <c r="C17" s="26">
        <v>46297.0</v>
      </c>
      <c r="D17" s="25" t="s">
        <v>29</v>
      </c>
      <c r="E17" s="28" t="s">
        <v>54</v>
      </c>
      <c r="F17" s="30"/>
      <c r="G17" s="30"/>
    </row>
    <row r="18" ht="21.75" customHeight="1">
      <c r="B18" s="31" t="s">
        <v>26</v>
      </c>
      <c r="C18" s="32">
        <v>46297.0</v>
      </c>
      <c r="D18" s="33" t="s">
        <v>29</v>
      </c>
      <c r="E18" s="35" t="s">
        <v>61</v>
      </c>
      <c r="F18" s="36"/>
      <c r="G18" s="36"/>
    </row>
    <row r="19" ht="21.75" customHeight="1">
      <c r="B19" s="25"/>
      <c r="C19" s="25"/>
      <c r="D19" s="25"/>
      <c r="E19" s="28"/>
      <c r="F19" s="36"/>
      <c r="G19" s="36"/>
    </row>
    <row r="20" ht="21.75" customHeight="1">
      <c r="B20" s="25"/>
      <c r="C20" s="25"/>
      <c r="D20" s="25"/>
      <c r="E20" s="28"/>
      <c r="F20" s="36"/>
      <c r="G20" s="36"/>
    </row>
    <row r="21" ht="21.75" customHeight="1">
      <c r="B21" s="25"/>
      <c r="C21" s="25"/>
      <c r="D21" s="25"/>
      <c r="E21" s="28"/>
      <c r="F21" s="36"/>
      <c r="G21" s="36"/>
    </row>
    <row r="22" ht="21.75" customHeight="1">
      <c r="B22" s="25"/>
      <c r="C22" s="25"/>
      <c r="D22" s="25"/>
      <c r="E22" s="28"/>
      <c r="F22" s="36"/>
      <c r="G22" s="36"/>
    </row>
    <row r="23" ht="21.75" customHeight="1">
      <c r="B23" s="25"/>
      <c r="C23" s="25"/>
      <c r="D23" s="25"/>
      <c r="E23" s="28"/>
      <c r="F23" s="36"/>
      <c r="G23" s="36"/>
    </row>
    <row r="24" ht="21.75" customHeight="1">
      <c r="B24" s="25"/>
      <c r="C24" s="25"/>
      <c r="D24" s="25"/>
      <c r="E24" s="28"/>
      <c r="F24" s="36"/>
      <c r="G24" s="36"/>
    </row>
    <row r="25" ht="21.75" customHeight="1">
      <c r="B25" s="37"/>
      <c r="C25" s="37"/>
      <c r="D25" s="37"/>
      <c r="E25" s="38"/>
      <c r="F25" s="36"/>
      <c r="G25" s="36"/>
    </row>
    <row r="26" ht="21.75" customHeight="1">
      <c r="B26" s="37"/>
      <c r="C26" s="37"/>
      <c r="D26" s="37"/>
      <c r="E26" s="38"/>
      <c r="F26" s="39"/>
      <c r="G26" s="39"/>
    </row>
    <row r="27" ht="21.75" customHeight="1">
      <c r="B27" s="37"/>
      <c r="C27" s="37"/>
      <c r="D27" s="37"/>
      <c r="E27" s="38"/>
      <c r="F27" s="39"/>
      <c r="G27" s="39"/>
    </row>
    <row r="28" ht="21.75" customHeight="1">
      <c r="B28" s="37"/>
      <c r="C28" s="37"/>
      <c r="D28" s="37"/>
      <c r="E28" s="38"/>
      <c r="F28" s="39"/>
      <c r="G28" s="39"/>
    </row>
    <row r="29" ht="21.75" customHeight="1">
      <c r="B29" s="37"/>
      <c r="C29" s="37"/>
      <c r="D29" s="37"/>
      <c r="E29" s="38"/>
      <c r="F29" s="39"/>
      <c r="G29" s="39"/>
    </row>
    <row r="30" ht="21.75" customHeight="1">
      <c r="F30" s="39"/>
      <c r="G30" s="39"/>
    </row>
    <row r="31" ht="15.75" customHeight="1"/>
    <row r="32" ht="15.75" customHeight="1">
      <c r="B32" s="8" t="s">
        <v>73</v>
      </c>
    </row>
    <row r="33" ht="15.75" customHeight="1">
      <c r="B33" s="40" t="s">
        <v>74</v>
      </c>
      <c r="D33" s="40" t="s">
        <v>78</v>
      </c>
    </row>
    <row r="34" ht="15.75" customHeight="1">
      <c r="B34" s="41" t="s">
        <v>79</v>
      </c>
      <c r="C34" s="42"/>
      <c r="D34" s="41" t="s">
        <v>86</v>
      </c>
      <c r="E34" s="17"/>
    </row>
    <row r="35" ht="15.0" customHeight="1">
      <c r="B35" s="41" t="s">
        <v>1</v>
      </c>
      <c r="C35" s="42"/>
      <c r="D35" s="41" t="s">
        <v>87</v>
      </c>
      <c r="E35" s="17"/>
    </row>
    <row r="36" ht="15.75" customHeight="1">
      <c r="B36" s="44" t="s">
        <v>89</v>
      </c>
      <c r="C36" s="44"/>
      <c r="D36" s="44" t="s">
        <v>90</v>
      </c>
      <c r="E36" s="44"/>
    </row>
    <row r="37" ht="18.75" customHeight="1"/>
    <row r="38" ht="18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2:E2"/>
    <mergeCell ref="A3:E3"/>
    <mergeCell ref="A4:E4"/>
    <mergeCell ref="C7:E7"/>
    <mergeCell ref="C8:E8"/>
    <mergeCell ref="C9:E9"/>
    <mergeCell ref="C10:E10"/>
    <mergeCell ref="B35:C35"/>
    <mergeCell ref="D35:E35"/>
    <mergeCell ref="C11:E11"/>
    <mergeCell ref="C12:E12"/>
    <mergeCell ref="C13:E13"/>
    <mergeCell ref="B33:C33"/>
    <mergeCell ref="D33:E33"/>
    <mergeCell ref="B34:C34"/>
    <mergeCell ref="D34:E3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0.0" ySplit="10.0" topLeftCell="K11" activePane="bottomRight" state="frozen"/>
      <selection activeCell="K1" sqref="K1" pane="topRight"/>
      <selection activeCell="A11" sqref="A11" pane="bottomLeft"/>
      <selection activeCell="K11" sqref="K11" pane="bottomRight"/>
    </sheetView>
  </sheetViews>
  <sheetFormatPr customHeight="1" defaultColWidth="14.43" defaultRowHeight="15.0"/>
  <cols>
    <col customWidth="1" min="1" max="1" width="24.29"/>
    <col customWidth="1" min="2" max="2" width="10.0"/>
    <col customWidth="1" min="3" max="3" width="56.0"/>
    <col customWidth="1" min="4" max="4" width="11.0"/>
    <col customWidth="1" min="5" max="5" width="30.14"/>
    <col customWidth="1" min="6" max="6" width="19.0"/>
    <col customWidth="1" min="7" max="8" width="11.0"/>
    <col customWidth="1" min="9" max="10" width="9.0"/>
    <col customWidth="1" min="11" max="100" width="3.14"/>
  </cols>
  <sheetData>
    <row r="1">
      <c r="A1" s="2" t="s">
        <v>1</v>
      </c>
      <c r="I1" s="6"/>
    </row>
    <row r="2">
      <c r="I2" s="6"/>
    </row>
    <row r="3">
      <c r="B3" s="10" t="s">
        <v>9</v>
      </c>
      <c r="C3" s="12" t="s">
        <v>13</v>
      </c>
      <c r="I3" s="6"/>
    </row>
    <row r="4">
      <c r="B4" s="10" t="s">
        <v>16</v>
      </c>
      <c r="C4" s="12" t="s">
        <v>17</v>
      </c>
      <c r="H4" s="19" t="s">
        <v>20</v>
      </c>
      <c r="I4" s="34">
        <f>SUM(I11,I16,I20,I27,I30,I34)</f>
        <v>1</v>
      </c>
      <c r="J4" s="43">
        <f>IFERROR((I11*J11+I16*J16+I20*J20+I27*J27+I30*J30+I34*J34)/SUM(I11,I16,I20,I27,I30,I34),0)</f>
        <v>0.355</v>
      </c>
    </row>
    <row r="5">
      <c r="B5" s="10" t="s">
        <v>88</v>
      </c>
      <c r="C5" s="12" t="s">
        <v>36</v>
      </c>
      <c r="I5" s="6"/>
    </row>
    <row r="6" hidden="1">
      <c r="B6" s="10" t="s">
        <v>91</v>
      </c>
      <c r="C6" s="12" t="s">
        <v>92</v>
      </c>
      <c r="I6" s="6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</row>
    <row r="7" hidden="1">
      <c r="I7" s="6"/>
      <c r="K7" s="46">
        <v>46263.0</v>
      </c>
      <c r="L7" s="46">
        <v>46264.0</v>
      </c>
      <c r="M7" s="46">
        <v>46265.0</v>
      </c>
      <c r="N7" s="46">
        <v>46266.0</v>
      </c>
      <c r="O7" s="46">
        <v>46267.0</v>
      </c>
      <c r="P7" s="46">
        <v>46268.0</v>
      </c>
      <c r="Q7" s="46">
        <v>46269.0</v>
      </c>
      <c r="R7" s="46">
        <v>46270.0</v>
      </c>
      <c r="S7" s="46">
        <v>46271.0</v>
      </c>
      <c r="T7" s="46">
        <v>46272.0</v>
      </c>
      <c r="U7" s="46">
        <v>46273.0</v>
      </c>
      <c r="V7" s="46">
        <v>46274.0</v>
      </c>
      <c r="W7" s="46">
        <v>46275.0</v>
      </c>
      <c r="X7" s="46">
        <v>46276.0</v>
      </c>
      <c r="Y7" s="46">
        <v>46277.0</v>
      </c>
      <c r="Z7" s="46">
        <v>46278.0</v>
      </c>
      <c r="AA7" s="46">
        <v>46279.0</v>
      </c>
      <c r="AB7" s="46">
        <v>46280.0</v>
      </c>
      <c r="AC7" s="46">
        <v>46281.0</v>
      </c>
      <c r="AD7" s="46">
        <v>46282.0</v>
      </c>
      <c r="AE7" s="46">
        <v>46283.0</v>
      </c>
      <c r="AF7" s="46">
        <v>46284.0</v>
      </c>
      <c r="AG7" s="46">
        <v>46285.0</v>
      </c>
      <c r="AH7" s="46">
        <v>46286.0</v>
      </c>
      <c r="AI7" s="46">
        <v>46287.0</v>
      </c>
      <c r="AJ7" s="46">
        <v>46288.0</v>
      </c>
      <c r="AK7" s="46">
        <v>46289.0</v>
      </c>
      <c r="AL7" s="46">
        <v>46290.0</v>
      </c>
      <c r="AM7" s="46">
        <v>46291.0</v>
      </c>
      <c r="AN7" s="46">
        <v>46292.0</v>
      </c>
      <c r="AO7" s="46">
        <v>46293.0</v>
      </c>
      <c r="AP7" s="46">
        <v>46294.0</v>
      </c>
      <c r="AQ7" s="46">
        <v>46295.0</v>
      </c>
      <c r="AR7" s="46">
        <v>46296.0</v>
      </c>
      <c r="AS7" s="46">
        <v>46297.0</v>
      </c>
      <c r="AT7" s="46">
        <v>46298.0</v>
      </c>
      <c r="AU7" s="46">
        <v>46299.0</v>
      </c>
      <c r="AV7" s="46">
        <v>46300.0</v>
      </c>
      <c r="AW7" s="46">
        <v>46301.0</v>
      </c>
      <c r="AX7" s="46">
        <v>46302.0</v>
      </c>
      <c r="AY7" s="46">
        <v>46303.0</v>
      </c>
      <c r="AZ7" s="46">
        <v>46304.0</v>
      </c>
      <c r="BA7" s="46">
        <v>46305.0</v>
      </c>
      <c r="BB7" s="46">
        <v>46306.0</v>
      </c>
      <c r="BC7" s="46">
        <v>46307.0</v>
      </c>
      <c r="BD7" s="46">
        <v>46308.0</v>
      </c>
      <c r="BE7" s="46">
        <v>46309.0</v>
      </c>
      <c r="BF7" s="46">
        <v>46310.0</v>
      </c>
      <c r="BG7" s="46">
        <v>46311.0</v>
      </c>
      <c r="BH7" s="46">
        <v>46312.0</v>
      </c>
      <c r="BI7" s="46">
        <v>46313.0</v>
      </c>
      <c r="BJ7" s="46">
        <v>46314.0</v>
      </c>
      <c r="BK7" s="46">
        <v>46315.0</v>
      </c>
      <c r="BL7" s="46">
        <v>46316.0</v>
      </c>
      <c r="BM7" s="46">
        <v>46317.0</v>
      </c>
      <c r="BN7" s="46">
        <v>46318.0</v>
      </c>
      <c r="BO7" s="46">
        <v>46319.0</v>
      </c>
      <c r="BP7" s="46">
        <v>46320.0</v>
      </c>
      <c r="BQ7" s="46">
        <v>46321.0</v>
      </c>
      <c r="BR7" s="46">
        <v>46322.0</v>
      </c>
      <c r="BS7" s="46">
        <v>46323.0</v>
      </c>
      <c r="BT7" s="46">
        <v>46324.0</v>
      </c>
      <c r="BU7" s="46">
        <v>46325.0</v>
      </c>
      <c r="BV7" s="46">
        <v>46326.0</v>
      </c>
      <c r="BW7" s="46">
        <v>46327.0</v>
      </c>
      <c r="BX7" s="46">
        <v>46328.0</v>
      </c>
      <c r="BY7" s="46">
        <v>46329.0</v>
      </c>
      <c r="BZ7" s="46">
        <v>46330.0</v>
      </c>
      <c r="CA7" s="46">
        <v>46331.0</v>
      </c>
      <c r="CB7" s="46">
        <v>46332.0</v>
      </c>
    </row>
    <row r="8">
      <c r="A8" s="47" t="s">
        <v>93</v>
      </c>
      <c r="K8" s="48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7"/>
      <c r="AF8" s="49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7"/>
      <c r="AT8" s="48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7"/>
    </row>
    <row r="9" ht="25.5" customHeight="1">
      <c r="A9" s="50" t="s">
        <v>94</v>
      </c>
      <c r="K9" s="51" t="s">
        <v>95</v>
      </c>
      <c r="L9" s="52"/>
      <c r="M9" s="52"/>
      <c r="N9" s="52"/>
      <c r="O9" s="52"/>
      <c r="P9" s="52"/>
      <c r="Q9" s="53"/>
      <c r="R9" s="51" t="s">
        <v>96</v>
      </c>
      <c r="S9" s="52"/>
      <c r="T9" s="52"/>
      <c r="U9" s="52"/>
      <c r="V9" s="52"/>
      <c r="W9" s="52"/>
      <c r="X9" s="53"/>
      <c r="Y9" s="51" t="s">
        <v>97</v>
      </c>
      <c r="Z9" s="52"/>
      <c r="AA9" s="52"/>
      <c r="AB9" s="52"/>
      <c r="AC9" s="52"/>
      <c r="AD9" s="52"/>
      <c r="AE9" s="53"/>
      <c r="AF9" s="51" t="s">
        <v>98</v>
      </c>
      <c r="AG9" s="52"/>
      <c r="AH9" s="52"/>
      <c r="AI9" s="52"/>
      <c r="AJ9" s="52"/>
      <c r="AK9" s="52"/>
      <c r="AL9" s="53"/>
      <c r="AM9" s="51" t="s">
        <v>99</v>
      </c>
      <c r="AN9" s="52"/>
      <c r="AO9" s="52"/>
      <c r="AP9" s="52"/>
      <c r="AQ9" s="52"/>
      <c r="AR9" s="52"/>
      <c r="AS9" s="53"/>
      <c r="AT9" s="51" t="s">
        <v>100</v>
      </c>
      <c r="AU9" s="52"/>
      <c r="AV9" s="52"/>
      <c r="AW9" s="52"/>
      <c r="AX9" s="52"/>
      <c r="AY9" s="52"/>
      <c r="AZ9" s="53"/>
      <c r="BA9" s="51" t="s">
        <v>101</v>
      </c>
      <c r="BB9" s="52"/>
      <c r="BC9" s="52"/>
      <c r="BD9" s="52"/>
      <c r="BE9" s="52"/>
      <c r="BF9" s="52"/>
      <c r="BG9" s="53"/>
      <c r="BH9" s="51" t="s">
        <v>102</v>
      </c>
      <c r="BI9" s="52"/>
      <c r="BJ9" s="52"/>
      <c r="BK9" s="52"/>
      <c r="BL9" s="52"/>
      <c r="BM9" s="52"/>
      <c r="BN9" s="53"/>
      <c r="BO9" s="51" t="s">
        <v>103</v>
      </c>
      <c r="BP9" s="52"/>
      <c r="BQ9" s="52"/>
      <c r="BR9" s="52"/>
      <c r="BS9" s="52"/>
      <c r="BT9" s="52"/>
      <c r="BU9" s="53"/>
      <c r="BV9" s="51" t="s">
        <v>104</v>
      </c>
      <c r="BW9" s="52"/>
      <c r="BX9" s="52"/>
      <c r="BY9" s="52"/>
      <c r="BZ9" s="52"/>
      <c r="CA9" s="52"/>
      <c r="CB9" s="53"/>
    </row>
    <row r="10" ht="30.0" customHeight="1">
      <c r="A10" s="54" t="s">
        <v>105</v>
      </c>
      <c r="B10" s="54" t="s">
        <v>106</v>
      </c>
      <c r="C10" s="54" t="s">
        <v>107</v>
      </c>
      <c r="D10" s="54" t="s">
        <v>108</v>
      </c>
      <c r="E10" s="54" t="s">
        <v>109</v>
      </c>
      <c r="F10" s="54" t="s">
        <v>16</v>
      </c>
      <c r="G10" s="54" t="s">
        <v>8</v>
      </c>
      <c r="H10" s="54" t="s">
        <v>10</v>
      </c>
      <c r="I10" s="55" t="s">
        <v>110</v>
      </c>
      <c r="J10" s="54" t="s">
        <v>111</v>
      </c>
      <c r="K10" s="56" t="s">
        <v>112</v>
      </c>
      <c r="L10" s="56" t="s">
        <v>113</v>
      </c>
      <c r="M10" s="57" t="s">
        <v>114</v>
      </c>
      <c r="N10" s="57" t="s">
        <v>115</v>
      </c>
      <c r="O10" s="57" t="s">
        <v>116</v>
      </c>
      <c r="P10" s="57" t="s">
        <v>117</v>
      </c>
      <c r="Q10" s="57" t="s">
        <v>118</v>
      </c>
      <c r="R10" s="56" t="s">
        <v>119</v>
      </c>
      <c r="S10" s="56" t="s">
        <v>120</v>
      </c>
      <c r="T10" s="57" t="s">
        <v>121</v>
      </c>
      <c r="U10" s="57" t="s">
        <v>122</v>
      </c>
      <c r="V10" s="57" t="s">
        <v>123</v>
      </c>
      <c r="W10" s="57" t="s">
        <v>124</v>
      </c>
      <c r="X10" s="57" t="s">
        <v>125</v>
      </c>
      <c r="Y10" s="56" t="s">
        <v>126</v>
      </c>
      <c r="Z10" s="56" t="s">
        <v>127</v>
      </c>
      <c r="AA10" s="57" t="s">
        <v>128</v>
      </c>
      <c r="AB10" s="57" t="s">
        <v>129</v>
      </c>
      <c r="AC10" s="57" t="s">
        <v>130</v>
      </c>
      <c r="AD10" s="57" t="s">
        <v>131</v>
      </c>
      <c r="AE10" s="57" t="s">
        <v>132</v>
      </c>
      <c r="AF10" s="56" t="s">
        <v>133</v>
      </c>
      <c r="AG10" s="56" t="s">
        <v>134</v>
      </c>
      <c r="AH10" s="57" t="s">
        <v>135</v>
      </c>
      <c r="AI10" s="57" t="s">
        <v>136</v>
      </c>
      <c r="AJ10" s="57" t="s">
        <v>137</v>
      </c>
      <c r="AK10" s="57" t="s">
        <v>138</v>
      </c>
      <c r="AL10" s="57" t="s">
        <v>139</v>
      </c>
      <c r="AM10" s="56" t="s">
        <v>140</v>
      </c>
      <c r="AN10" s="56" t="s">
        <v>141</v>
      </c>
      <c r="AO10" s="57" t="s">
        <v>142</v>
      </c>
      <c r="AP10" s="57" t="s">
        <v>143</v>
      </c>
      <c r="AQ10" s="57" t="s">
        <v>144</v>
      </c>
      <c r="AR10" s="57" t="s">
        <v>145</v>
      </c>
      <c r="AS10" s="57" t="s">
        <v>146</v>
      </c>
      <c r="AT10" s="56" t="s">
        <v>147</v>
      </c>
      <c r="AU10" s="56" t="s">
        <v>148</v>
      </c>
      <c r="AV10" s="57" t="s">
        <v>149</v>
      </c>
      <c r="AW10" s="57" t="s">
        <v>150</v>
      </c>
      <c r="AX10" s="57" t="s">
        <v>151</v>
      </c>
      <c r="AY10" s="57" t="s">
        <v>152</v>
      </c>
      <c r="AZ10" s="57" t="s">
        <v>153</v>
      </c>
      <c r="BA10" s="56" t="s">
        <v>154</v>
      </c>
      <c r="BB10" s="56" t="s">
        <v>155</v>
      </c>
      <c r="BC10" s="57" t="s">
        <v>156</v>
      </c>
      <c r="BD10" s="57" t="s">
        <v>157</v>
      </c>
      <c r="BE10" s="57" t="s">
        <v>158</v>
      </c>
      <c r="BF10" s="57" t="s">
        <v>159</v>
      </c>
      <c r="BG10" s="57" t="s">
        <v>160</v>
      </c>
      <c r="BH10" s="56" t="s">
        <v>161</v>
      </c>
      <c r="BI10" s="56" t="s">
        <v>162</v>
      </c>
      <c r="BJ10" s="57" t="s">
        <v>163</v>
      </c>
      <c r="BK10" s="57" t="s">
        <v>164</v>
      </c>
      <c r="BL10" s="57" t="s">
        <v>165</v>
      </c>
      <c r="BM10" s="57" t="s">
        <v>166</v>
      </c>
      <c r="BN10" s="57" t="s">
        <v>167</v>
      </c>
      <c r="BO10" s="56" t="s">
        <v>168</v>
      </c>
      <c r="BP10" s="56" t="s">
        <v>169</v>
      </c>
      <c r="BQ10" s="57" t="s">
        <v>170</v>
      </c>
      <c r="BR10" s="57" t="s">
        <v>171</v>
      </c>
      <c r="BS10" s="57" t="s">
        <v>172</v>
      </c>
      <c r="BT10" s="57" t="s">
        <v>173</v>
      </c>
      <c r="BU10" s="57" t="s">
        <v>174</v>
      </c>
      <c r="BV10" s="56" t="s">
        <v>175</v>
      </c>
      <c r="BW10" s="56" t="s">
        <v>176</v>
      </c>
      <c r="BX10" s="57" t="s">
        <v>177</v>
      </c>
      <c r="BY10" s="57" t="s">
        <v>178</v>
      </c>
      <c r="BZ10" s="57" t="s">
        <v>179</v>
      </c>
      <c r="CA10" s="57" t="s">
        <v>180</v>
      </c>
      <c r="CB10" s="57" t="s">
        <v>181</v>
      </c>
    </row>
    <row r="11" ht="25.5" customHeight="1">
      <c r="A11" s="58" t="s">
        <v>182</v>
      </c>
      <c r="B11" s="59" t="s">
        <v>67</v>
      </c>
      <c r="C11" s="60" t="s">
        <v>182</v>
      </c>
      <c r="D11" s="59"/>
      <c r="E11" s="60"/>
      <c r="F11" s="60"/>
      <c r="G11" s="61">
        <f>MIN(G12:G15)</f>
        <v>46263</v>
      </c>
      <c r="H11" s="61">
        <f>MAX(H12:H15)</f>
        <v>46284</v>
      </c>
      <c r="I11" s="62">
        <f>SUM(I12:I15)</f>
        <v>0.15</v>
      </c>
      <c r="J11" s="63">
        <f>IFERROR((I12*J12+I13*J13+I14*J14+I15*J15)/SUM(I12:I15),0)</f>
        <v>1</v>
      </c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5"/>
      <c r="AH11" s="66"/>
      <c r="AI11" s="66"/>
      <c r="AJ11" s="66"/>
      <c r="AK11" s="66"/>
      <c r="AL11" s="66"/>
      <c r="AM11" s="65"/>
      <c r="AN11" s="65"/>
      <c r="AO11" s="66"/>
      <c r="AP11" s="66"/>
      <c r="AQ11" s="66"/>
      <c r="AR11" s="66"/>
      <c r="AS11" s="66"/>
      <c r="AT11" s="65"/>
      <c r="AU11" s="65"/>
      <c r="AV11" s="66"/>
      <c r="AW11" s="66"/>
      <c r="AX11" s="66"/>
      <c r="AY11" s="66"/>
      <c r="AZ11" s="66"/>
      <c r="BA11" s="65"/>
      <c r="BB11" s="65"/>
      <c r="BC11" s="66"/>
      <c r="BD11" s="66"/>
      <c r="BE11" s="66"/>
      <c r="BF11" s="66"/>
      <c r="BG11" s="66"/>
      <c r="BH11" s="65"/>
      <c r="BI11" s="65"/>
      <c r="BJ11" s="66"/>
      <c r="BK11" s="66"/>
      <c r="BL11" s="66"/>
      <c r="BM11" s="66"/>
      <c r="BN11" s="66"/>
      <c r="BO11" s="65"/>
      <c r="BP11" s="65"/>
      <c r="BQ11" s="66"/>
      <c r="BR11" s="66"/>
      <c r="BS11" s="66"/>
      <c r="BT11" s="66"/>
      <c r="BU11" s="66"/>
      <c r="BV11" s="65"/>
      <c r="BW11" s="65"/>
      <c r="BX11" s="66"/>
      <c r="BY11" s="66"/>
      <c r="BZ11" s="66"/>
      <c r="CA11" s="66"/>
      <c r="CB11" s="66"/>
    </row>
    <row r="12" ht="25.5" customHeight="1">
      <c r="A12" s="67"/>
      <c r="B12" s="68" t="s">
        <v>183</v>
      </c>
      <c r="C12" s="69" t="s">
        <v>184</v>
      </c>
      <c r="D12" s="68" t="s">
        <v>185</v>
      </c>
      <c r="E12" s="69" t="s">
        <v>186</v>
      </c>
      <c r="F12" s="70" t="s">
        <v>29</v>
      </c>
      <c r="G12" s="71">
        <v>46263.0</v>
      </c>
      <c r="H12" s="71">
        <v>46276.0</v>
      </c>
      <c r="I12" s="72">
        <v>0.04</v>
      </c>
      <c r="J12" s="73">
        <v>1.0</v>
      </c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65"/>
      <c r="Z12" s="65"/>
      <c r="AA12" s="66"/>
      <c r="AB12" s="66"/>
      <c r="AC12" s="66"/>
      <c r="AD12" s="66"/>
      <c r="AE12" s="66"/>
      <c r="AF12" s="65"/>
      <c r="AG12" s="65"/>
      <c r="AH12" s="66"/>
      <c r="AI12" s="66"/>
      <c r="AJ12" s="66"/>
      <c r="AK12" s="66"/>
      <c r="AL12" s="66"/>
      <c r="AM12" s="65"/>
      <c r="AN12" s="65"/>
      <c r="AO12" s="66"/>
      <c r="AP12" s="66"/>
      <c r="AQ12" s="66"/>
      <c r="AR12" s="66"/>
      <c r="AS12" s="66"/>
      <c r="AT12" s="65"/>
      <c r="AU12" s="65"/>
      <c r="AV12" s="66"/>
      <c r="AW12" s="66"/>
      <c r="AX12" s="66"/>
      <c r="AY12" s="66"/>
      <c r="AZ12" s="66"/>
      <c r="BA12" s="65"/>
      <c r="BB12" s="65"/>
      <c r="BC12" s="66"/>
      <c r="BD12" s="66"/>
      <c r="BE12" s="66"/>
      <c r="BF12" s="66"/>
      <c r="BG12" s="66"/>
      <c r="BH12" s="65"/>
      <c r="BI12" s="65"/>
      <c r="BJ12" s="66"/>
      <c r="BK12" s="66"/>
      <c r="BL12" s="66"/>
      <c r="BM12" s="66"/>
      <c r="BN12" s="66"/>
      <c r="BO12" s="65"/>
      <c r="BP12" s="65"/>
      <c r="BQ12" s="66"/>
      <c r="BR12" s="66"/>
      <c r="BS12" s="66"/>
      <c r="BT12" s="66"/>
      <c r="BU12" s="66"/>
      <c r="BV12" s="65"/>
      <c r="BW12" s="65"/>
      <c r="BX12" s="66"/>
      <c r="BY12" s="66"/>
      <c r="BZ12" s="66"/>
      <c r="CA12" s="66"/>
      <c r="CB12" s="66"/>
    </row>
    <row r="13" ht="25.5" customHeight="1">
      <c r="A13" s="75"/>
      <c r="B13" s="76" t="s">
        <v>187</v>
      </c>
      <c r="C13" s="77" t="s">
        <v>188</v>
      </c>
      <c r="D13" s="76" t="s">
        <v>189</v>
      </c>
      <c r="E13" s="77" t="s">
        <v>190</v>
      </c>
      <c r="F13" s="78" t="s">
        <v>29</v>
      </c>
      <c r="G13" s="79">
        <v>46274.0</v>
      </c>
      <c r="H13" s="79">
        <v>46276.0</v>
      </c>
      <c r="I13" s="80">
        <v>0.03</v>
      </c>
      <c r="J13" s="81">
        <v>1.0</v>
      </c>
      <c r="K13" s="65"/>
      <c r="L13" s="65"/>
      <c r="M13" s="66"/>
      <c r="N13" s="66"/>
      <c r="O13" s="66"/>
      <c r="P13" s="66"/>
      <c r="Q13" s="66"/>
      <c r="R13" s="65"/>
      <c r="S13" s="65"/>
      <c r="T13" s="66"/>
      <c r="U13" s="66"/>
      <c r="V13" s="74"/>
      <c r="W13" s="74"/>
      <c r="X13" s="74"/>
      <c r="Y13" s="65"/>
      <c r="Z13" s="65"/>
      <c r="AA13" s="66"/>
      <c r="AB13" s="66"/>
      <c r="AC13" s="66"/>
      <c r="AD13" s="66"/>
      <c r="AE13" s="66"/>
      <c r="AF13" s="65"/>
      <c r="AG13" s="65"/>
      <c r="AH13" s="66"/>
      <c r="AI13" s="66"/>
      <c r="AJ13" s="66"/>
      <c r="AK13" s="66"/>
      <c r="AL13" s="66"/>
      <c r="AM13" s="65"/>
      <c r="AN13" s="65"/>
      <c r="AO13" s="66"/>
      <c r="AP13" s="66"/>
      <c r="AQ13" s="66"/>
      <c r="AR13" s="66"/>
      <c r="AS13" s="66"/>
      <c r="AT13" s="65"/>
      <c r="AU13" s="65"/>
      <c r="AV13" s="66"/>
      <c r="AW13" s="66"/>
      <c r="AX13" s="66"/>
      <c r="AY13" s="66"/>
      <c r="AZ13" s="66"/>
      <c r="BA13" s="65"/>
      <c r="BB13" s="65"/>
      <c r="BC13" s="66"/>
      <c r="BD13" s="66"/>
      <c r="BE13" s="66"/>
      <c r="BF13" s="66"/>
      <c r="BG13" s="66"/>
      <c r="BH13" s="65"/>
      <c r="BI13" s="65"/>
      <c r="BJ13" s="66"/>
      <c r="BK13" s="66"/>
      <c r="BL13" s="66"/>
      <c r="BM13" s="66"/>
      <c r="BN13" s="66"/>
      <c r="BO13" s="65"/>
      <c r="BP13" s="65"/>
      <c r="BQ13" s="66"/>
      <c r="BR13" s="66"/>
      <c r="BS13" s="66"/>
      <c r="BT13" s="66"/>
      <c r="BU13" s="66"/>
      <c r="BV13" s="65"/>
      <c r="BW13" s="65"/>
      <c r="BX13" s="66"/>
      <c r="BY13" s="66"/>
      <c r="BZ13" s="66"/>
      <c r="CA13" s="66"/>
      <c r="CB13" s="66"/>
    </row>
    <row r="14" ht="25.5" customHeight="1">
      <c r="A14" s="75"/>
      <c r="B14" s="76" t="s">
        <v>191</v>
      </c>
      <c r="C14" s="77" t="s">
        <v>192</v>
      </c>
      <c r="D14" s="76" t="s">
        <v>185</v>
      </c>
      <c r="E14" s="77" t="s">
        <v>193</v>
      </c>
      <c r="F14" s="78" t="s">
        <v>29</v>
      </c>
      <c r="G14" s="79">
        <v>46276.0</v>
      </c>
      <c r="H14" s="79">
        <v>46276.0</v>
      </c>
      <c r="I14" s="80">
        <v>0.02</v>
      </c>
      <c r="J14" s="81">
        <v>1.0</v>
      </c>
      <c r="K14" s="65"/>
      <c r="L14" s="65"/>
      <c r="M14" s="66"/>
      <c r="N14" s="66"/>
      <c r="O14" s="66"/>
      <c r="P14" s="66"/>
      <c r="Q14" s="66"/>
      <c r="R14" s="65"/>
      <c r="S14" s="65"/>
      <c r="T14" s="66"/>
      <c r="U14" s="66"/>
      <c r="V14" s="66"/>
      <c r="W14" s="66"/>
      <c r="X14" s="82"/>
      <c r="Y14" s="65"/>
      <c r="Z14" s="65"/>
      <c r="AA14" s="66"/>
      <c r="AB14" s="66"/>
      <c r="AC14" s="66"/>
      <c r="AD14" s="66"/>
      <c r="AE14" s="66"/>
      <c r="AF14" s="65"/>
      <c r="AG14" s="65"/>
      <c r="AH14" s="66"/>
      <c r="AI14" s="66"/>
      <c r="AJ14" s="66"/>
      <c r="AK14" s="66"/>
      <c r="AL14" s="66"/>
      <c r="AM14" s="65"/>
      <c r="AN14" s="65"/>
      <c r="AO14" s="66"/>
      <c r="AP14" s="66"/>
      <c r="AQ14" s="66"/>
      <c r="AR14" s="66"/>
      <c r="AS14" s="66"/>
      <c r="AT14" s="65"/>
      <c r="AU14" s="65"/>
      <c r="AV14" s="66"/>
      <c r="AW14" s="66"/>
      <c r="AX14" s="66"/>
      <c r="AY14" s="66"/>
      <c r="AZ14" s="66"/>
      <c r="BA14" s="65"/>
      <c r="BB14" s="65"/>
      <c r="BC14" s="66"/>
      <c r="BD14" s="66"/>
      <c r="BE14" s="66"/>
      <c r="BF14" s="66"/>
      <c r="BG14" s="66"/>
      <c r="BH14" s="65"/>
      <c r="BI14" s="65"/>
      <c r="BJ14" s="66"/>
      <c r="BK14" s="66"/>
      <c r="BL14" s="66"/>
      <c r="BM14" s="66"/>
      <c r="BN14" s="66"/>
      <c r="BO14" s="65"/>
      <c r="BP14" s="65"/>
      <c r="BQ14" s="66"/>
      <c r="BR14" s="66"/>
      <c r="BS14" s="66"/>
      <c r="BT14" s="66"/>
      <c r="BU14" s="66"/>
      <c r="BV14" s="65"/>
      <c r="BW14" s="65"/>
      <c r="BX14" s="66"/>
      <c r="BY14" s="66"/>
      <c r="BZ14" s="66"/>
      <c r="CA14" s="66"/>
      <c r="CB14" s="66"/>
    </row>
    <row r="15" ht="25.5" customHeight="1">
      <c r="A15" s="75"/>
      <c r="B15" s="76" t="s">
        <v>194</v>
      </c>
      <c r="C15" s="77" t="s">
        <v>195</v>
      </c>
      <c r="D15" s="76" t="s">
        <v>185</v>
      </c>
      <c r="E15" s="77" t="s">
        <v>196</v>
      </c>
      <c r="F15" s="78" t="s">
        <v>29</v>
      </c>
      <c r="G15" s="79">
        <v>46276.0</v>
      </c>
      <c r="H15" s="79">
        <v>46284.0</v>
      </c>
      <c r="I15" s="80">
        <v>0.06</v>
      </c>
      <c r="J15" s="81">
        <v>1.0</v>
      </c>
      <c r="K15" s="65"/>
      <c r="L15" s="65"/>
      <c r="M15" s="66"/>
      <c r="N15" s="66"/>
      <c r="O15" s="66"/>
      <c r="P15" s="66"/>
      <c r="Q15" s="66"/>
      <c r="R15" s="65"/>
      <c r="S15" s="65"/>
      <c r="T15" s="66"/>
      <c r="U15" s="66"/>
      <c r="V15" s="66"/>
      <c r="W15" s="66"/>
      <c r="X15" s="74"/>
      <c r="Y15" s="74"/>
      <c r="Z15" s="74"/>
      <c r="AA15" s="74"/>
      <c r="AB15" s="74"/>
      <c r="AC15" s="74"/>
      <c r="AD15" s="74"/>
      <c r="AE15" s="74"/>
      <c r="AF15" s="74"/>
      <c r="AG15" s="65"/>
      <c r="AH15" s="66"/>
      <c r="AI15" s="66"/>
      <c r="AJ15" s="66"/>
      <c r="AK15" s="66"/>
      <c r="AL15" s="66"/>
      <c r="AM15" s="65"/>
      <c r="AN15" s="65"/>
      <c r="AO15" s="66"/>
      <c r="AP15" s="66"/>
      <c r="AQ15" s="66"/>
      <c r="AR15" s="66"/>
      <c r="AS15" s="66"/>
      <c r="AT15" s="65"/>
      <c r="AU15" s="65"/>
      <c r="AV15" s="66"/>
      <c r="AW15" s="66"/>
      <c r="AX15" s="66"/>
      <c r="AY15" s="66"/>
      <c r="AZ15" s="66"/>
      <c r="BA15" s="65"/>
      <c r="BB15" s="65"/>
      <c r="BC15" s="66"/>
      <c r="BD15" s="66"/>
      <c r="BE15" s="66"/>
      <c r="BF15" s="66"/>
      <c r="BG15" s="66"/>
      <c r="BH15" s="65"/>
      <c r="BI15" s="65"/>
      <c r="BJ15" s="66"/>
      <c r="BK15" s="66"/>
      <c r="BL15" s="66"/>
      <c r="BM15" s="66"/>
      <c r="BN15" s="66"/>
      <c r="BO15" s="65"/>
      <c r="BP15" s="65"/>
      <c r="BQ15" s="66"/>
      <c r="BR15" s="66"/>
      <c r="BS15" s="66"/>
      <c r="BT15" s="66"/>
      <c r="BU15" s="66"/>
      <c r="BV15" s="65"/>
      <c r="BW15" s="65"/>
      <c r="BX15" s="66"/>
      <c r="BY15" s="66"/>
      <c r="BZ15" s="66"/>
      <c r="CA15" s="66"/>
      <c r="CB15" s="66"/>
    </row>
    <row r="16" ht="25.5" customHeight="1">
      <c r="A16" s="58" t="s">
        <v>197</v>
      </c>
      <c r="B16" s="59" t="s">
        <v>70</v>
      </c>
      <c r="C16" s="60" t="s">
        <v>197</v>
      </c>
      <c r="D16" s="59"/>
      <c r="E16" s="60"/>
      <c r="F16" s="60"/>
      <c r="G16" s="61">
        <f>MIN(G17:G19)</f>
        <v>46280</v>
      </c>
      <c r="H16" s="61">
        <f>MAX(H17:H19)</f>
        <v>46293</v>
      </c>
      <c r="I16" s="62">
        <f>SUM(I17:I19)</f>
        <v>0.05</v>
      </c>
      <c r="J16" s="63">
        <f>IFERROR((I17*J17+I18*J18+I19*J19)/SUM(I17:I19),0)</f>
        <v>1</v>
      </c>
      <c r="K16" s="65"/>
      <c r="L16" s="65"/>
      <c r="M16" s="66"/>
      <c r="N16" s="66"/>
      <c r="O16" s="66"/>
      <c r="P16" s="66"/>
      <c r="Q16" s="66"/>
      <c r="R16" s="65"/>
      <c r="S16" s="65"/>
      <c r="T16" s="66"/>
      <c r="U16" s="66"/>
      <c r="V16" s="66"/>
      <c r="W16" s="66"/>
      <c r="X16" s="66"/>
      <c r="Y16" s="65"/>
      <c r="Z16" s="65"/>
      <c r="AA16" s="66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6"/>
      <c r="AQ16" s="66"/>
      <c r="AR16" s="66"/>
      <c r="AS16" s="66"/>
      <c r="AT16" s="65"/>
      <c r="AU16" s="65"/>
      <c r="AV16" s="66"/>
      <c r="AW16" s="66"/>
      <c r="AX16" s="66"/>
      <c r="AY16" s="66"/>
      <c r="AZ16" s="66"/>
      <c r="BA16" s="65"/>
      <c r="BB16" s="65"/>
      <c r="BC16" s="66"/>
      <c r="BD16" s="66"/>
      <c r="BE16" s="66"/>
      <c r="BF16" s="66"/>
      <c r="BG16" s="66"/>
      <c r="BH16" s="65"/>
      <c r="BI16" s="65"/>
      <c r="BJ16" s="66"/>
      <c r="BK16" s="66"/>
      <c r="BL16" s="66"/>
      <c r="BM16" s="66"/>
      <c r="BN16" s="66"/>
      <c r="BO16" s="65"/>
      <c r="BP16" s="65"/>
      <c r="BQ16" s="66"/>
      <c r="BR16" s="66"/>
      <c r="BS16" s="66"/>
      <c r="BT16" s="66"/>
      <c r="BU16" s="66"/>
      <c r="BV16" s="65"/>
      <c r="BW16" s="65"/>
      <c r="BX16" s="66"/>
      <c r="BY16" s="66"/>
      <c r="BZ16" s="66"/>
      <c r="CA16" s="66"/>
      <c r="CB16" s="66"/>
    </row>
    <row r="17" ht="25.5" customHeight="1">
      <c r="A17" s="83"/>
      <c r="B17" s="84" t="s">
        <v>198</v>
      </c>
      <c r="C17" s="85" t="s">
        <v>199</v>
      </c>
      <c r="D17" s="84" t="s">
        <v>200</v>
      </c>
      <c r="E17" s="85" t="s">
        <v>201</v>
      </c>
      <c r="F17" s="70" t="s">
        <v>29</v>
      </c>
      <c r="G17" s="86">
        <v>46280.0</v>
      </c>
      <c r="H17" s="86">
        <v>46283.0</v>
      </c>
      <c r="I17" s="87">
        <v>0.03</v>
      </c>
      <c r="J17" s="73">
        <v>1.0</v>
      </c>
      <c r="K17" s="65"/>
      <c r="L17" s="65"/>
      <c r="M17" s="66"/>
      <c r="N17" s="66"/>
      <c r="O17" s="66"/>
      <c r="P17" s="66"/>
      <c r="Q17" s="66"/>
      <c r="R17" s="65"/>
      <c r="S17" s="65"/>
      <c r="T17" s="66"/>
      <c r="U17" s="66"/>
      <c r="V17" s="66"/>
      <c r="W17" s="66"/>
      <c r="X17" s="66"/>
      <c r="Y17" s="65"/>
      <c r="Z17" s="65"/>
      <c r="AA17" s="66"/>
      <c r="AB17" s="74"/>
      <c r="AC17" s="74"/>
      <c r="AD17" s="74"/>
      <c r="AE17" s="74"/>
      <c r="AF17" s="65"/>
      <c r="AG17" s="65"/>
      <c r="AH17" s="66"/>
      <c r="AI17" s="66"/>
      <c r="AJ17" s="66"/>
      <c r="AK17" s="66"/>
      <c r="AL17" s="66"/>
      <c r="AM17" s="65"/>
      <c r="AN17" s="65"/>
      <c r="AO17" s="66"/>
      <c r="AP17" s="66"/>
      <c r="AQ17" s="66"/>
      <c r="AR17" s="66"/>
      <c r="AS17" s="66"/>
      <c r="AT17" s="65"/>
      <c r="AU17" s="65"/>
      <c r="AV17" s="66"/>
      <c r="AW17" s="66"/>
      <c r="AX17" s="66"/>
      <c r="AY17" s="66"/>
      <c r="AZ17" s="66"/>
      <c r="BA17" s="65"/>
      <c r="BB17" s="65"/>
      <c r="BC17" s="66"/>
      <c r="BD17" s="66"/>
      <c r="BE17" s="66"/>
      <c r="BF17" s="66"/>
      <c r="BG17" s="66"/>
      <c r="BH17" s="65"/>
      <c r="BI17" s="65"/>
      <c r="BJ17" s="66"/>
      <c r="BK17" s="66"/>
      <c r="BL17" s="66"/>
      <c r="BM17" s="66"/>
      <c r="BN17" s="66"/>
      <c r="BO17" s="65"/>
      <c r="BP17" s="65"/>
      <c r="BQ17" s="66"/>
      <c r="BR17" s="66"/>
      <c r="BS17" s="66"/>
      <c r="BT17" s="66"/>
      <c r="BU17" s="66"/>
      <c r="BV17" s="65"/>
      <c r="BW17" s="65"/>
      <c r="BX17" s="66"/>
      <c r="BY17" s="66"/>
      <c r="BZ17" s="66"/>
      <c r="CA17" s="66"/>
      <c r="CB17" s="66"/>
    </row>
    <row r="18" ht="25.5" customHeight="1">
      <c r="A18" s="75"/>
      <c r="B18" s="76" t="s">
        <v>202</v>
      </c>
      <c r="C18" s="77" t="s">
        <v>203</v>
      </c>
      <c r="D18" s="76" t="s">
        <v>200</v>
      </c>
      <c r="E18" s="77" t="s">
        <v>204</v>
      </c>
      <c r="F18" s="78" t="s">
        <v>29</v>
      </c>
      <c r="G18" s="88">
        <v>46282.0</v>
      </c>
      <c r="H18" s="88">
        <v>46282.0</v>
      </c>
      <c r="I18" s="87">
        <v>0.005</v>
      </c>
      <c r="J18" s="81">
        <v>1.0</v>
      </c>
      <c r="K18" s="65"/>
      <c r="L18" s="65"/>
      <c r="M18" s="66"/>
      <c r="N18" s="66"/>
      <c r="O18" s="66"/>
      <c r="P18" s="66"/>
      <c r="Q18" s="66"/>
      <c r="R18" s="65"/>
      <c r="S18" s="65"/>
      <c r="T18" s="66"/>
      <c r="U18" s="66"/>
      <c r="V18" s="66"/>
      <c r="W18" s="66"/>
      <c r="X18" s="66"/>
      <c r="Y18" s="65"/>
      <c r="Z18" s="65"/>
      <c r="AA18" s="66"/>
      <c r="AB18" s="66"/>
      <c r="AC18" s="66"/>
      <c r="AD18" s="82"/>
      <c r="AE18" s="66"/>
      <c r="AF18" s="65"/>
      <c r="AG18" s="65"/>
      <c r="AH18" s="66"/>
      <c r="AI18" s="66"/>
      <c r="AJ18" s="66"/>
      <c r="AK18" s="66"/>
      <c r="AL18" s="66"/>
      <c r="AM18" s="65"/>
      <c r="AN18" s="65"/>
      <c r="AO18" s="66"/>
      <c r="AP18" s="66"/>
      <c r="AQ18" s="66"/>
      <c r="AR18" s="66"/>
      <c r="AS18" s="66"/>
      <c r="AT18" s="65"/>
      <c r="AU18" s="65"/>
      <c r="AV18" s="66"/>
      <c r="AW18" s="66"/>
      <c r="AX18" s="66"/>
      <c r="AY18" s="66"/>
      <c r="AZ18" s="66"/>
      <c r="BA18" s="65"/>
      <c r="BB18" s="65"/>
      <c r="BC18" s="66"/>
      <c r="BD18" s="66"/>
      <c r="BE18" s="66"/>
      <c r="BF18" s="66"/>
      <c r="BG18" s="66"/>
      <c r="BH18" s="65"/>
      <c r="BI18" s="65"/>
      <c r="BJ18" s="66"/>
      <c r="BK18" s="66"/>
      <c r="BL18" s="66"/>
      <c r="BM18" s="66"/>
      <c r="BN18" s="66"/>
      <c r="BO18" s="65"/>
      <c r="BP18" s="65"/>
      <c r="BQ18" s="66"/>
      <c r="BR18" s="66"/>
      <c r="BS18" s="66"/>
      <c r="BT18" s="66"/>
      <c r="BU18" s="66"/>
      <c r="BV18" s="65"/>
      <c r="BW18" s="65"/>
      <c r="BX18" s="66"/>
      <c r="BY18" s="66"/>
      <c r="BZ18" s="66"/>
      <c r="CA18" s="66"/>
      <c r="CB18" s="66"/>
    </row>
    <row r="19" ht="25.5" customHeight="1">
      <c r="A19" s="75"/>
      <c r="B19" s="76" t="s">
        <v>205</v>
      </c>
      <c r="C19" s="77" t="s">
        <v>206</v>
      </c>
      <c r="D19" s="76" t="s">
        <v>207</v>
      </c>
      <c r="E19" s="77" t="s">
        <v>208</v>
      </c>
      <c r="F19" s="78" t="s">
        <v>209</v>
      </c>
      <c r="G19" s="88">
        <v>46283.0</v>
      </c>
      <c r="H19" s="88">
        <v>46293.0</v>
      </c>
      <c r="I19" s="87">
        <v>0.015</v>
      </c>
      <c r="J19" s="81">
        <v>1.0</v>
      </c>
      <c r="K19" s="65"/>
      <c r="L19" s="65"/>
      <c r="M19" s="66"/>
      <c r="N19" s="66"/>
      <c r="O19" s="66"/>
      <c r="P19" s="66"/>
      <c r="Q19" s="66"/>
      <c r="R19" s="65"/>
      <c r="S19" s="65"/>
      <c r="T19" s="66"/>
      <c r="U19" s="66"/>
      <c r="V19" s="66"/>
      <c r="W19" s="66"/>
      <c r="X19" s="66"/>
      <c r="Y19" s="65"/>
      <c r="Z19" s="65"/>
      <c r="AA19" s="66"/>
      <c r="AB19" s="66"/>
      <c r="AC19" s="66"/>
      <c r="AD19" s="66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66"/>
      <c r="AQ19" s="66"/>
      <c r="AR19" s="66"/>
      <c r="AS19" s="66"/>
      <c r="AT19" s="65"/>
      <c r="AU19" s="65"/>
      <c r="AV19" s="66"/>
      <c r="AW19" s="66"/>
      <c r="AX19" s="66"/>
      <c r="AY19" s="66"/>
      <c r="AZ19" s="66"/>
      <c r="BA19" s="65"/>
      <c r="BB19" s="65"/>
      <c r="BC19" s="66"/>
      <c r="BD19" s="66"/>
      <c r="BE19" s="66"/>
      <c r="BF19" s="66"/>
      <c r="BG19" s="66"/>
      <c r="BH19" s="65"/>
      <c r="BI19" s="65"/>
      <c r="BJ19" s="66"/>
      <c r="BK19" s="66"/>
      <c r="BL19" s="66"/>
      <c r="BM19" s="66"/>
      <c r="BN19" s="66"/>
      <c r="BO19" s="65"/>
      <c r="BP19" s="65"/>
      <c r="BQ19" s="66"/>
      <c r="BR19" s="66"/>
      <c r="BS19" s="66"/>
      <c r="BT19" s="66"/>
      <c r="BU19" s="66"/>
      <c r="BV19" s="65"/>
      <c r="BW19" s="65"/>
      <c r="BX19" s="66"/>
      <c r="BY19" s="66"/>
      <c r="BZ19" s="66"/>
      <c r="CA19" s="66"/>
      <c r="CB19" s="66"/>
    </row>
    <row r="20" ht="25.5" customHeight="1">
      <c r="A20" s="58" t="s">
        <v>210</v>
      </c>
      <c r="B20" s="59" t="s">
        <v>75</v>
      </c>
      <c r="C20" s="60" t="s">
        <v>210</v>
      </c>
      <c r="D20" s="59"/>
      <c r="E20" s="60"/>
      <c r="F20" s="60"/>
      <c r="G20" s="61">
        <f>MIN(G21:G26)</f>
        <v>46286</v>
      </c>
      <c r="H20" s="61">
        <f>MAX(H21:H26)</f>
        <v>46298</v>
      </c>
      <c r="I20" s="62">
        <f>SUM(I21:I26)</f>
        <v>0.15</v>
      </c>
      <c r="J20" s="63">
        <f>IFERROR((I21*J21+I22*J22+I23*J23+I24*J24+I25*J25+I26*J26)/SUM(I21:I26),0)</f>
        <v>0.9666666667</v>
      </c>
      <c r="K20" s="65"/>
      <c r="L20" s="65"/>
      <c r="M20" s="66"/>
      <c r="N20" s="66"/>
      <c r="O20" s="66"/>
      <c r="P20" s="66"/>
      <c r="Q20" s="66"/>
      <c r="R20" s="65"/>
      <c r="S20" s="65"/>
      <c r="T20" s="66"/>
      <c r="U20" s="66"/>
      <c r="V20" s="66"/>
      <c r="W20" s="66"/>
      <c r="X20" s="66"/>
      <c r="Y20" s="65"/>
      <c r="Z20" s="65"/>
      <c r="AA20" s="66"/>
      <c r="AB20" s="66"/>
      <c r="AC20" s="66"/>
      <c r="AD20" s="66"/>
      <c r="AE20" s="66"/>
      <c r="AF20" s="65"/>
      <c r="AG20" s="65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5"/>
      <c r="AU20" s="65"/>
      <c r="AV20" s="66"/>
      <c r="AW20" s="66"/>
      <c r="AX20" s="66"/>
      <c r="AY20" s="66"/>
      <c r="AZ20" s="66"/>
      <c r="BA20" s="65"/>
      <c r="BB20" s="65"/>
      <c r="BC20" s="66"/>
      <c r="BD20" s="66"/>
      <c r="BE20" s="66"/>
      <c r="BF20" s="66"/>
      <c r="BG20" s="66"/>
      <c r="BH20" s="65"/>
      <c r="BI20" s="65"/>
      <c r="BJ20" s="66"/>
      <c r="BK20" s="66"/>
      <c r="BL20" s="66"/>
      <c r="BM20" s="66"/>
      <c r="BN20" s="66"/>
      <c r="BO20" s="65"/>
      <c r="BP20" s="65"/>
      <c r="BQ20" s="66"/>
      <c r="BR20" s="66"/>
      <c r="BS20" s="66"/>
      <c r="BT20" s="66"/>
      <c r="BU20" s="66"/>
      <c r="BV20" s="65"/>
      <c r="BW20" s="65"/>
      <c r="BX20" s="66"/>
      <c r="BY20" s="66"/>
      <c r="BZ20" s="66"/>
      <c r="CA20" s="66"/>
      <c r="CB20" s="66"/>
    </row>
    <row r="21" ht="25.5" customHeight="1">
      <c r="A21" s="75"/>
      <c r="B21" s="76" t="s">
        <v>211</v>
      </c>
      <c r="C21" s="77" t="s">
        <v>212</v>
      </c>
      <c r="D21" s="76" t="s">
        <v>213</v>
      </c>
      <c r="E21" s="77" t="s">
        <v>214</v>
      </c>
      <c r="F21" s="78" t="s">
        <v>29</v>
      </c>
      <c r="G21" s="88">
        <v>46286.0</v>
      </c>
      <c r="H21" s="88">
        <v>46287.0</v>
      </c>
      <c r="I21" s="87">
        <v>0.03</v>
      </c>
      <c r="J21" s="81">
        <v>1.0</v>
      </c>
      <c r="K21" s="65"/>
      <c r="L21" s="65"/>
      <c r="M21" s="66"/>
      <c r="N21" s="66"/>
      <c r="O21" s="66"/>
      <c r="P21" s="66"/>
      <c r="Q21" s="66"/>
      <c r="R21" s="65"/>
      <c r="S21" s="65"/>
      <c r="T21" s="66"/>
      <c r="U21" s="66"/>
      <c r="V21" s="66"/>
      <c r="W21" s="66"/>
      <c r="X21" s="66"/>
      <c r="Y21" s="65"/>
      <c r="Z21" s="65"/>
      <c r="AA21" s="66"/>
      <c r="AB21" s="66"/>
      <c r="AC21" s="66"/>
      <c r="AD21" s="66"/>
      <c r="AE21" s="66"/>
      <c r="AF21" s="65"/>
      <c r="AG21" s="65"/>
      <c r="AH21" s="74"/>
      <c r="AI21" s="74"/>
      <c r="AJ21" s="66"/>
      <c r="AK21" s="66"/>
      <c r="AL21" s="66"/>
      <c r="AM21" s="65"/>
      <c r="AN21" s="65"/>
      <c r="AO21" s="66"/>
      <c r="AP21" s="66"/>
      <c r="AQ21" s="66"/>
      <c r="AR21" s="66"/>
      <c r="AS21" s="66"/>
      <c r="AT21" s="65"/>
      <c r="AU21" s="65"/>
      <c r="AV21" s="66"/>
      <c r="AW21" s="66"/>
      <c r="AX21" s="66"/>
      <c r="AY21" s="66"/>
      <c r="AZ21" s="66"/>
      <c r="BA21" s="65"/>
      <c r="BB21" s="65"/>
      <c r="BC21" s="66"/>
      <c r="BD21" s="66"/>
      <c r="BE21" s="66"/>
      <c r="BF21" s="66"/>
      <c r="BG21" s="66"/>
      <c r="BH21" s="65"/>
      <c r="BI21" s="65"/>
      <c r="BJ21" s="66"/>
      <c r="BK21" s="66"/>
      <c r="BL21" s="66"/>
      <c r="BM21" s="66"/>
      <c r="BN21" s="66"/>
      <c r="BO21" s="65"/>
      <c r="BP21" s="65"/>
      <c r="BQ21" s="66"/>
      <c r="BR21" s="66"/>
      <c r="BS21" s="66"/>
      <c r="BT21" s="66"/>
      <c r="BU21" s="66"/>
      <c r="BV21" s="65"/>
      <c r="BW21" s="65"/>
      <c r="BX21" s="66"/>
      <c r="BY21" s="66"/>
      <c r="BZ21" s="66"/>
      <c r="CA21" s="66"/>
      <c r="CB21" s="66"/>
    </row>
    <row r="22" ht="25.5" customHeight="1">
      <c r="A22" s="83"/>
      <c r="B22" s="84" t="s">
        <v>215</v>
      </c>
      <c r="C22" s="85" t="s">
        <v>216</v>
      </c>
      <c r="D22" s="84" t="s">
        <v>213</v>
      </c>
      <c r="E22" s="85" t="s">
        <v>217</v>
      </c>
      <c r="F22" s="70" t="s">
        <v>29</v>
      </c>
      <c r="G22" s="86">
        <v>46293.0</v>
      </c>
      <c r="H22" s="86">
        <v>46295.0</v>
      </c>
      <c r="I22" s="89">
        <v>0.03</v>
      </c>
      <c r="J22" s="73">
        <v>1.0</v>
      </c>
      <c r="K22" s="65"/>
      <c r="L22" s="65"/>
      <c r="M22" s="66"/>
      <c r="N22" s="66"/>
      <c r="O22" s="66"/>
      <c r="P22" s="66"/>
      <c r="Q22" s="66"/>
      <c r="R22" s="65"/>
      <c r="S22" s="65"/>
      <c r="T22" s="66"/>
      <c r="U22" s="66"/>
      <c r="V22" s="66"/>
      <c r="W22" s="66"/>
      <c r="X22" s="66"/>
      <c r="Y22" s="65"/>
      <c r="Z22" s="65"/>
      <c r="AA22" s="66"/>
      <c r="AB22" s="66"/>
      <c r="AC22" s="66"/>
      <c r="AD22" s="66"/>
      <c r="AE22" s="66"/>
      <c r="AF22" s="65"/>
      <c r="AG22" s="65"/>
      <c r="AH22" s="66"/>
      <c r="AI22" s="66"/>
      <c r="AJ22" s="66"/>
      <c r="AK22" s="66"/>
      <c r="AL22" s="66"/>
      <c r="AM22" s="65"/>
      <c r="AN22" s="65"/>
      <c r="AO22" s="74"/>
      <c r="AP22" s="74"/>
      <c r="AQ22" s="74"/>
      <c r="AR22" s="66"/>
      <c r="AS22" s="66"/>
      <c r="AT22" s="65"/>
      <c r="AU22" s="65"/>
      <c r="AV22" s="66"/>
      <c r="AW22" s="66"/>
      <c r="AX22" s="66"/>
      <c r="AY22" s="66"/>
      <c r="AZ22" s="66"/>
      <c r="BA22" s="65"/>
      <c r="BB22" s="65"/>
      <c r="BC22" s="66"/>
      <c r="BD22" s="66"/>
      <c r="BE22" s="66"/>
      <c r="BF22" s="66"/>
      <c r="BG22" s="66"/>
      <c r="BH22" s="65"/>
      <c r="BI22" s="65"/>
      <c r="BJ22" s="66"/>
      <c r="BK22" s="66"/>
      <c r="BL22" s="66"/>
      <c r="BM22" s="66"/>
      <c r="BN22" s="66"/>
      <c r="BO22" s="65"/>
      <c r="BP22" s="65"/>
      <c r="BQ22" s="66"/>
      <c r="BR22" s="66"/>
      <c r="BS22" s="66"/>
      <c r="BT22" s="66"/>
      <c r="BU22" s="66"/>
      <c r="BV22" s="65"/>
      <c r="BW22" s="65"/>
      <c r="BX22" s="66"/>
      <c r="BY22" s="66"/>
      <c r="BZ22" s="66"/>
      <c r="CA22" s="66"/>
      <c r="CB22" s="66"/>
    </row>
    <row r="23" ht="25.5" customHeight="1">
      <c r="A23" s="75"/>
      <c r="B23" s="76" t="s">
        <v>218</v>
      </c>
      <c r="C23" s="77" t="s">
        <v>219</v>
      </c>
      <c r="D23" s="76" t="s">
        <v>220</v>
      </c>
      <c r="E23" s="77" t="s">
        <v>221</v>
      </c>
      <c r="F23" s="78" t="s">
        <v>29</v>
      </c>
      <c r="G23" s="88">
        <v>46295.0</v>
      </c>
      <c r="H23" s="88">
        <v>46296.0</v>
      </c>
      <c r="I23" s="87">
        <v>0.035</v>
      </c>
      <c r="J23" s="81">
        <v>1.0</v>
      </c>
      <c r="K23" s="65"/>
      <c r="L23" s="65"/>
      <c r="M23" s="66"/>
      <c r="N23" s="66"/>
      <c r="O23" s="66"/>
      <c r="P23" s="66"/>
      <c r="Q23" s="66"/>
      <c r="R23" s="65"/>
      <c r="S23" s="65"/>
      <c r="T23" s="66"/>
      <c r="U23" s="66"/>
      <c r="V23" s="66"/>
      <c r="W23" s="66"/>
      <c r="X23" s="66"/>
      <c r="Y23" s="65"/>
      <c r="Z23" s="65"/>
      <c r="AA23" s="66"/>
      <c r="AB23" s="66"/>
      <c r="AC23" s="66"/>
      <c r="AD23" s="66"/>
      <c r="AE23" s="66"/>
      <c r="AF23" s="65"/>
      <c r="AG23" s="65"/>
      <c r="AH23" s="66"/>
      <c r="AI23" s="66"/>
      <c r="AJ23" s="66"/>
      <c r="AK23" s="66"/>
      <c r="AL23" s="66"/>
      <c r="AM23" s="65"/>
      <c r="AN23" s="65"/>
      <c r="AO23" s="66"/>
      <c r="AP23" s="66"/>
      <c r="AQ23" s="74"/>
      <c r="AR23" s="74"/>
      <c r="AS23" s="66"/>
      <c r="AT23" s="65"/>
      <c r="AU23" s="65"/>
      <c r="AV23" s="66"/>
      <c r="AW23" s="66"/>
      <c r="AX23" s="66"/>
      <c r="AY23" s="66"/>
      <c r="AZ23" s="66"/>
      <c r="BA23" s="65"/>
      <c r="BB23" s="65"/>
      <c r="BC23" s="66"/>
      <c r="BD23" s="66"/>
      <c r="BE23" s="66"/>
      <c r="BF23" s="66"/>
      <c r="BG23" s="66"/>
      <c r="BH23" s="65"/>
      <c r="BI23" s="65"/>
      <c r="BJ23" s="66"/>
      <c r="BK23" s="66"/>
      <c r="BL23" s="66"/>
      <c r="BM23" s="66"/>
      <c r="BN23" s="66"/>
      <c r="BO23" s="65"/>
      <c r="BP23" s="65"/>
      <c r="BQ23" s="66"/>
      <c r="BR23" s="66"/>
      <c r="BS23" s="66"/>
      <c r="BT23" s="66"/>
      <c r="BU23" s="66"/>
      <c r="BV23" s="65"/>
      <c r="BW23" s="65"/>
      <c r="BX23" s="66"/>
      <c r="BY23" s="66"/>
      <c r="BZ23" s="66"/>
      <c r="CA23" s="66"/>
      <c r="CB23" s="66"/>
    </row>
    <row r="24" ht="25.5" customHeight="1">
      <c r="A24" s="75"/>
      <c r="B24" s="76" t="s">
        <v>222</v>
      </c>
      <c r="C24" s="77" t="s">
        <v>223</v>
      </c>
      <c r="D24" s="76" t="s">
        <v>220</v>
      </c>
      <c r="E24" s="77" t="s">
        <v>224</v>
      </c>
      <c r="F24" s="78" t="s">
        <v>225</v>
      </c>
      <c r="G24" s="88">
        <v>46296.0</v>
      </c>
      <c r="H24" s="88">
        <v>46297.0</v>
      </c>
      <c r="I24" s="87">
        <v>0.025</v>
      </c>
      <c r="J24" s="81">
        <v>1.0</v>
      </c>
      <c r="K24" s="65"/>
      <c r="L24" s="65"/>
      <c r="M24" s="66"/>
      <c r="N24" s="66"/>
      <c r="O24" s="66"/>
      <c r="P24" s="66"/>
      <c r="Q24" s="66"/>
      <c r="R24" s="65"/>
      <c r="S24" s="65"/>
      <c r="T24" s="66"/>
      <c r="U24" s="66"/>
      <c r="V24" s="66"/>
      <c r="W24" s="66"/>
      <c r="X24" s="66"/>
      <c r="Y24" s="65"/>
      <c r="Z24" s="65"/>
      <c r="AA24" s="66"/>
      <c r="AB24" s="66"/>
      <c r="AC24" s="66"/>
      <c r="AD24" s="66"/>
      <c r="AE24" s="66"/>
      <c r="AF24" s="65"/>
      <c r="AG24" s="65"/>
      <c r="AH24" s="66"/>
      <c r="AI24" s="66"/>
      <c r="AJ24" s="66"/>
      <c r="AK24" s="66"/>
      <c r="AL24" s="66"/>
      <c r="AM24" s="65"/>
      <c r="AN24" s="65"/>
      <c r="AO24" s="66"/>
      <c r="AP24" s="66"/>
      <c r="AQ24" s="66"/>
      <c r="AR24" s="74"/>
      <c r="AS24" s="74"/>
      <c r="AT24" s="65"/>
      <c r="AU24" s="65"/>
      <c r="AV24" s="66"/>
      <c r="AW24" s="66"/>
      <c r="AX24" s="66"/>
      <c r="AY24" s="66"/>
      <c r="AZ24" s="66"/>
      <c r="BA24" s="65"/>
      <c r="BB24" s="65"/>
      <c r="BC24" s="66"/>
      <c r="BD24" s="66"/>
      <c r="BE24" s="66"/>
      <c r="BF24" s="66"/>
      <c r="BG24" s="66"/>
      <c r="BH24" s="65"/>
      <c r="BI24" s="65"/>
      <c r="BJ24" s="66"/>
      <c r="BK24" s="66"/>
      <c r="BL24" s="66"/>
      <c r="BM24" s="66"/>
      <c r="BN24" s="66"/>
      <c r="BO24" s="65"/>
      <c r="BP24" s="65"/>
      <c r="BQ24" s="66"/>
      <c r="BR24" s="66"/>
      <c r="BS24" s="66"/>
      <c r="BT24" s="66"/>
      <c r="BU24" s="66"/>
      <c r="BV24" s="65"/>
      <c r="BW24" s="65"/>
      <c r="BX24" s="66"/>
      <c r="BY24" s="66"/>
      <c r="BZ24" s="66"/>
      <c r="CA24" s="66"/>
      <c r="CB24" s="66"/>
    </row>
    <row r="25" ht="25.5" customHeight="1">
      <c r="A25" s="75"/>
      <c r="B25" s="76" t="s">
        <v>226</v>
      </c>
      <c r="C25" s="77" t="s">
        <v>227</v>
      </c>
      <c r="D25" s="76" t="s">
        <v>220</v>
      </c>
      <c r="E25" s="77" t="s">
        <v>228</v>
      </c>
      <c r="F25" s="78" t="s">
        <v>225</v>
      </c>
      <c r="G25" s="88">
        <v>46296.0</v>
      </c>
      <c r="H25" s="88">
        <v>46297.0</v>
      </c>
      <c r="I25" s="87">
        <v>0.02</v>
      </c>
      <c r="J25" s="81">
        <v>1.0</v>
      </c>
      <c r="K25" s="65"/>
      <c r="L25" s="65"/>
      <c r="M25" s="66"/>
      <c r="N25" s="66"/>
      <c r="O25" s="66"/>
      <c r="P25" s="66"/>
      <c r="Q25" s="66"/>
      <c r="R25" s="65"/>
      <c r="S25" s="65"/>
      <c r="T25" s="66"/>
      <c r="U25" s="66"/>
      <c r="V25" s="66"/>
      <c r="W25" s="66"/>
      <c r="X25" s="66"/>
      <c r="Y25" s="65"/>
      <c r="Z25" s="65"/>
      <c r="AA25" s="66"/>
      <c r="AB25" s="66"/>
      <c r="AC25" s="66"/>
      <c r="AD25" s="66"/>
      <c r="AE25" s="66"/>
      <c r="AF25" s="65"/>
      <c r="AG25" s="65"/>
      <c r="AH25" s="66"/>
      <c r="AI25" s="66"/>
      <c r="AJ25" s="66"/>
      <c r="AK25" s="66"/>
      <c r="AL25" s="66"/>
      <c r="AM25" s="65"/>
      <c r="AN25" s="65"/>
      <c r="AO25" s="66"/>
      <c r="AP25" s="66"/>
      <c r="AQ25" s="66"/>
      <c r="AR25" s="74"/>
      <c r="AS25" s="74"/>
      <c r="AT25" s="65"/>
      <c r="AU25" s="65"/>
      <c r="AV25" s="66"/>
      <c r="AW25" s="66"/>
      <c r="AX25" s="66"/>
      <c r="AY25" s="66"/>
      <c r="AZ25" s="66"/>
      <c r="BA25" s="65"/>
      <c r="BB25" s="65"/>
      <c r="BC25" s="66"/>
      <c r="BD25" s="66"/>
      <c r="BE25" s="66"/>
      <c r="BF25" s="66"/>
      <c r="BG25" s="66"/>
      <c r="BH25" s="65"/>
      <c r="BI25" s="65"/>
      <c r="BJ25" s="66"/>
      <c r="BK25" s="66"/>
      <c r="BL25" s="66"/>
      <c r="BM25" s="66"/>
      <c r="BN25" s="66"/>
      <c r="BO25" s="65"/>
      <c r="BP25" s="65"/>
      <c r="BQ25" s="66"/>
      <c r="BR25" s="66"/>
      <c r="BS25" s="66"/>
      <c r="BT25" s="66"/>
      <c r="BU25" s="66"/>
      <c r="BV25" s="65"/>
      <c r="BW25" s="65"/>
      <c r="BX25" s="66"/>
      <c r="BY25" s="66"/>
      <c r="BZ25" s="66"/>
      <c r="CA25" s="66"/>
      <c r="CB25" s="66"/>
    </row>
    <row r="26" ht="25.5" customHeight="1">
      <c r="A26" s="75"/>
      <c r="B26" s="76" t="s">
        <v>229</v>
      </c>
      <c r="C26" s="77" t="s">
        <v>230</v>
      </c>
      <c r="D26" s="76" t="s">
        <v>220</v>
      </c>
      <c r="E26" s="77" t="s">
        <v>1</v>
      </c>
      <c r="F26" s="78" t="s">
        <v>29</v>
      </c>
      <c r="G26" s="88">
        <v>46297.0</v>
      </c>
      <c r="H26" s="88">
        <v>46298.0</v>
      </c>
      <c r="I26" s="87">
        <v>0.01</v>
      </c>
      <c r="J26" s="81">
        <v>0.5</v>
      </c>
      <c r="K26" s="65"/>
      <c r="L26" s="65"/>
      <c r="M26" s="66"/>
      <c r="N26" s="66"/>
      <c r="O26" s="66"/>
      <c r="P26" s="66"/>
      <c r="Q26" s="66"/>
      <c r="R26" s="65"/>
      <c r="S26" s="65"/>
      <c r="T26" s="66"/>
      <c r="U26" s="66"/>
      <c r="V26" s="66"/>
      <c r="W26" s="66"/>
      <c r="X26" s="66"/>
      <c r="Y26" s="65"/>
      <c r="Z26" s="65"/>
      <c r="AA26" s="66"/>
      <c r="AB26" s="66"/>
      <c r="AC26" s="66"/>
      <c r="AD26" s="66"/>
      <c r="AE26" s="66"/>
      <c r="AF26" s="65"/>
      <c r="AG26" s="65"/>
      <c r="AH26" s="66"/>
      <c r="AI26" s="66"/>
      <c r="AJ26" s="66"/>
      <c r="AK26" s="66"/>
      <c r="AL26" s="66"/>
      <c r="AM26" s="65"/>
      <c r="AN26" s="65"/>
      <c r="AO26" s="66"/>
      <c r="AP26" s="66"/>
      <c r="AQ26" s="66"/>
      <c r="AR26" s="66"/>
      <c r="AS26" s="82"/>
      <c r="AT26" s="65"/>
      <c r="AU26" s="65"/>
      <c r="AV26" s="66"/>
      <c r="AW26" s="66"/>
      <c r="AX26" s="66"/>
      <c r="AY26" s="66"/>
      <c r="AZ26" s="66"/>
      <c r="BA26" s="65"/>
      <c r="BB26" s="65"/>
      <c r="BC26" s="66"/>
      <c r="BD26" s="66"/>
      <c r="BE26" s="66"/>
      <c r="BF26" s="66"/>
      <c r="BG26" s="66"/>
      <c r="BH26" s="65"/>
      <c r="BI26" s="65"/>
      <c r="BJ26" s="66"/>
      <c r="BK26" s="66"/>
      <c r="BL26" s="66"/>
      <c r="BM26" s="66"/>
      <c r="BN26" s="66"/>
      <c r="BO26" s="65"/>
      <c r="BP26" s="65"/>
      <c r="BQ26" s="66"/>
      <c r="BR26" s="66"/>
      <c r="BS26" s="66"/>
      <c r="BT26" s="66"/>
      <c r="BU26" s="66"/>
      <c r="BV26" s="65"/>
      <c r="BW26" s="65"/>
      <c r="BX26" s="66"/>
      <c r="BY26" s="66"/>
      <c r="BZ26" s="66"/>
      <c r="CA26" s="66"/>
      <c r="CB26" s="66"/>
    </row>
    <row r="27" ht="25.5" customHeight="1">
      <c r="A27" s="58" t="s">
        <v>231</v>
      </c>
      <c r="B27" s="59" t="s">
        <v>80</v>
      </c>
      <c r="C27" s="60" t="s">
        <v>231</v>
      </c>
      <c r="D27" s="59"/>
      <c r="E27" s="60"/>
      <c r="F27" s="60"/>
      <c r="G27" s="61">
        <f>MIN(G28:G29)</f>
        <v>46297</v>
      </c>
      <c r="H27" s="61">
        <f>MAX(H28:H29)</f>
        <v>46301</v>
      </c>
      <c r="I27" s="62">
        <f>SUM(I28:I29)</f>
        <v>0.1</v>
      </c>
      <c r="J27" s="63">
        <f>IFERROR((I28*J28+I29*J29)/SUM(I28:I29),0)</f>
        <v>0.1</v>
      </c>
      <c r="K27" s="65"/>
      <c r="L27" s="65"/>
      <c r="M27" s="66"/>
      <c r="N27" s="66"/>
      <c r="O27" s="66"/>
      <c r="P27" s="66"/>
      <c r="Q27" s="66"/>
      <c r="R27" s="65"/>
      <c r="S27" s="65"/>
      <c r="T27" s="66"/>
      <c r="U27" s="66"/>
      <c r="V27" s="66"/>
      <c r="W27" s="66"/>
      <c r="X27" s="66"/>
      <c r="Y27" s="65"/>
      <c r="Z27" s="65"/>
      <c r="AA27" s="66"/>
      <c r="AB27" s="66"/>
      <c r="AC27" s="66"/>
      <c r="AD27" s="66"/>
      <c r="AE27" s="66"/>
      <c r="AF27" s="65"/>
      <c r="AG27" s="65"/>
      <c r="AH27" s="66"/>
      <c r="AI27" s="66"/>
      <c r="AJ27" s="66"/>
      <c r="AK27" s="66"/>
      <c r="AL27" s="66"/>
      <c r="AM27" s="65"/>
      <c r="AN27" s="65"/>
      <c r="AO27" s="66"/>
      <c r="AP27" s="66"/>
      <c r="AQ27" s="66"/>
      <c r="AR27" s="66"/>
      <c r="AS27" s="64"/>
      <c r="AT27" s="64"/>
      <c r="AU27" s="64"/>
      <c r="AV27" s="64"/>
      <c r="AW27" s="64"/>
      <c r="AX27" s="66"/>
      <c r="AY27" s="66"/>
      <c r="AZ27" s="66"/>
      <c r="BA27" s="65"/>
      <c r="BB27" s="65"/>
      <c r="BC27" s="66"/>
      <c r="BD27" s="66"/>
      <c r="BE27" s="66"/>
      <c r="BF27" s="66"/>
      <c r="BG27" s="66"/>
      <c r="BH27" s="65"/>
      <c r="BI27" s="65"/>
      <c r="BJ27" s="66"/>
      <c r="BK27" s="66"/>
      <c r="BL27" s="66"/>
      <c r="BM27" s="66"/>
      <c r="BN27" s="66"/>
      <c r="BO27" s="65"/>
      <c r="BP27" s="65"/>
      <c r="BQ27" s="66"/>
      <c r="BR27" s="66"/>
      <c r="BS27" s="66"/>
      <c r="BT27" s="66"/>
      <c r="BU27" s="66"/>
      <c r="BV27" s="65"/>
      <c r="BW27" s="65"/>
      <c r="BX27" s="66"/>
      <c r="BY27" s="66"/>
      <c r="BZ27" s="66"/>
      <c r="CA27" s="66"/>
      <c r="CB27" s="66"/>
    </row>
    <row r="28" ht="25.5" customHeight="1">
      <c r="A28" s="90"/>
      <c r="B28" s="91" t="s">
        <v>232</v>
      </c>
      <c r="C28" s="92" t="s">
        <v>233</v>
      </c>
      <c r="D28" s="91" t="s">
        <v>234</v>
      </c>
      <c r="E28" s="92" t="s">
        <v>235</v>
      </c>
      <c r="F28" s="70" t="s">
        <v>236</v>
      </c>
      <c r="G28" s="93">
        <v>46297.0</v>
      </c>
      <c r="H28" s="93">
        <v>46301.0</v>
      </c>
      <c r="I28" s="94">
        <v>0.06</v>
      </c>
      <c r="J28" s="73">
        <v>0.1</v>
      </c>
      <c r="K28" s="65"/>
      <c r="L28" s="65"/>
      <c r="M28" s="66"/>
      <c r="N28" s="66"/>
      <c r="O28" s="66"/>
      <c r="P28" s="66"/>
      <c r="Q28" s="66"/>
      <c r="R28" s="65"/>
      <c r="S28" s="65"/>
      <c r="T28" s="66"/>
      <c r="U28" s="66"/>
      <c r="V28" s="66"/>
      <c r="W28" s="66"/>
      <c r="X28" s="66"/>
      <c r="Y28" s="65"/>
      <c r="Z28" s="65"/>
      <c r="AA28" s="66"/>
      <c r="AB28" s="66"/>
      <c r="AC28" s="66"/>
      <c r="AD28" s="66"/>
      <c r="AE28" s="66"/>
      <c r="AF28" s="65"/>
      <c r="AG28" s="65"/>
      <c r="AH28" s="66"/>
      <c r="AI28" s="66"/>
      <c r="AJ28" s="66"/>
      <c r="AK28" s="66"/>
      <c r="AL28" s="66"/>
      <c r="AM28" s="65"/>
      <c r="AN28" s="65"/>
      <c r="AO28" s="66"/>
      <c r="AP28" s="66"/>
      <c r="AQ28" s="66"/>
      <c r="AR28" s="66"/>
      <c r="AS28" s="74"/>
      <c r="AT28" s="74"/>
      <c r="AU28" s="74"/>
      <c r="AV28" s="74"/>
      <c r="AW28" s="74"/>
      <c r="AX28" s="66"/>
      <c r="AY28" s="66"/>
      <c r="AZ28" s="66"/>
      <c r="BA28" s="65"/>
      <c r="BB28" s="65"/>
      <c r="BC28" s="66"/>
      <c r="BD28" s="66"/>
      <c r="BE28" s="66"/>
      <c r="BF28" s="66"/>
      <c r="BG28" s="66"/>
      <c r="BH28" s="65"/>
      <c r="BI28" s="65"/>
      <c r="BJ28" s="66"/>
      <c r="BK28" s="66"/>
      <c r="BL28" s="66"/>
      <c r="BM28" s="66"/>
      <c r="BN28" s="66"/>
      <c r="BO28" s="65"/>
      <c r="BP28" s="65"/>
      <c r="BQ28" s="66"/>
      <c r="BR28" s="66"/>
      <c r="BS28" s="66"/>
      <c r="BT28" s="66"/>
      <c r="BU28" s="66"/>
      <c r="BV28" s="65"/>
      <c r="BW28" s="65"/>
      <c r="BX28" s="66"/>
      <c r="BY28" s="66"/>
      <c r="BZ28" s="66"/>
      <c r="CA28" s="66"/>
      <c r="CB28" s="66"/>
    </row>
    <row r="29" ht="25.5" customHeight="1">
      <c r="A29" s="95"/>
      <c r="B29" s="31" t="s">
        <v>237</v>
      </c>
      <c r="C29" s="96" t="s">
        <v>238</v>
      </c>
      <c r="D29" s="31" t="s">
        <v>234</v>
      </c>
      <c r="E29" s="96" t="s">
        <v>239</v>
      </c>
      <c r="F29" s="78" t="s">
        <v>236</v>
      </c>
      <c r="G29" s="97">
        <v>46297.0</v>
      </c>
      <c r="H29" s="97">
        <v>46301.0</v>
      </c>
      <c r="I29" s="98">
        <v>0.04</v>
      </c>
      <c r="J29" s="81">
        <v>0.1</v>
      </c>
      <c r="K29" s="65"/>
      <c r="L29" s="65"/>
      <c r="M29" s="66"/>
      <c r="N29" s="66"/>
      <c r="O29" s="66"/>
      <c r="P29" s="66"/>
      <c r="Q29" s="66"/>
      <c r="R29" s="65"/>
      <c r="S29" s="65"/>
      <c r="T29" s="66"/>
      <c r="U29" s="66"/>
      <c r="V29" s="66"/>
      <c r="W29" s="66"/>
      <c r="X29" s="66"/>
      <c r="Y29" s="65"/>
      <c r="Z29" s="65"/>
      <c r="AA29" s="66"/>
      <c r="AB29" s="66"/>
      <c r="AC29" s="66"/>
      <c r="AD29" s="66"/>
      <c r="AE29" s="66"/>
      <c r="AF29" s="65"/>
      <c r="AG29" s="65"/>
      <c r="AH29" s="66"/>
      <c r="AI29" s="66"/>
      <c r="AJ29" s="66"/>
      <c r="AK29" s="66"/>
      <c r="AL29" s="66"/>
      <c r="AM29" s="65"/>
      <c r="AN29" s="65"/>
      <c r="AO29" s="66"/>
      <c r="AP29" s="66"/>
      <c r="AQ29" s="66"/>
      <c r="AR29" s="66"/>
      <c r="AS29" s="74"/>
      <c r="AT29" s="74"/>
      <c r="AU29" s="74"/>
      <c r="AV29" s="74"/>
      <c r="AW29" s="74"/>
      <c r="AX29" s="66"/>
      <c r="AY29" s="66"/>
      <c r="AZ29" s="66"/>
      <c r="BA29" s="65"/>
      <c r="BB29" s="65"/>
      <c r="BC29" s="66"/>
      <c r="BD29" s="66"/>
      <c r="BE29" s="66"/>
      <c r="BF29" s="66"/>
      <c r="BG29" s="66"/>
      <c r="BH29" s="65"/>
      <c r="BI29" s="65"/>
      <c r="BJ29" s="66"/>
      <c r="BK29" s="66"/>
      <c r="BL29" s="66"/>
      <c r="BM29" s="66"/>
      <c r="BN29" s="66"/>
      <c r="BO29" s="65"/>
      <c r="BP29" s="65"/>
      <c r="BQ29" s="66"/>
      <c r="BR29" s="66"/>
      <c r="BS29" s="66"/>
      <c r="BT29" s="66"/>
      <c r="BU29" s="66"/>
      <c r="BV29" s="65"/>
      <c r="BW29" s="65"/>
      <c r="BX29" s="66"/>
      <c r="BY29" s="66"/>
      <c r="BZ29" s="66"/>
      <c r="CA29" s="66"/>
      <c r="CB29" s="66"/>
    </row>
    <row r="30" ht="25.5" customHeight="1">
      <c r="A30" s="58" t="s">
        <v>240</v>
      </c>
      <c r="B30" s="59" t="s">
        <v>83</v>
      </c>
      <c r="C30" s="60" t="s">
        <v>240</v>
      </c>
      <c r="D30" s="59"/>
      <c r="E30" s="60"/>
      <c r="F30" s="60"/>
      <c r="G30" s="61">
        <f>MIN(G31:G33)</f>
        <v>46301</v>
      </c>
      <c r="H30" s="61">
        <f>MAX(H31:H33)</f>
        <v>46302</v>
      </c>
      <c r="I30" s="62">
        <f>SUM(I31:I33)</f>
        <v>0.1</v>
      </c>
      <c r="J30" s="63">
        <f>IFERROR((I31*J31+I32*J32+I33*J33)/SUM(I31:I33),0)</f>
        <v>0</v>
      </c>
      <c r="K30" s="65"/>
      <c r="L30" s="65"/>
      <c r="M30" s="66"/>
      <c r="N30" s="66"/>
      <c r="O30" s="66"/>
      <c r="P30" s="66"/>
      <c r="Q30" s="66"/>
      <c r="R30" s="65"/>
      <c r="S30" s="65"/>
      <c r="T30" s="66"/>
      <c r="U30" s="66"/>
      <c r="V30" s="66"/>
      <c r="W30" s="66"/>
      <c r="X30" s="66"/>
      <c r="Y30" s="65"/>
      <c r="Z30" s="65"/>
      <c r="AA30" s="66"/>
      <c r="AB30" s="66"/>
      <c r="AC30" s="66"/>
      <c r="AD30" s="66"/>
      <c r="AE30" s="66"/>
      <c r="AF30" s="65"/>
      <c r="AG30" s="65"/>
      <c r="AH30" s="66"/>
      <c r="AI30" s="66"/>
      <c r="AJ30" s="66"/>
      <c r="AK30" s="66"/>
      <c r="AL30" s="66"/>
      <c r="AM30" s="65"/>
      <c r="AN30" s="65"/>
      <c r="AO30" s="66"/>
      <c r="AP30" s="66"/>
      <c r="AQ30" s="66"/>
      <c r="AR30" s="66"/>
      <c r="AS30" s="66"/>
      <c r="AT30" s="65"/>
      <c r="AU30" s="65"/>
      <c r="AV30" s="66"/>
      <c r="AW30" s="64"/>
      <c r="AX30" s="64"/>
      <c r="AY30" s="66"/>
      <c r="AZ30" s="66"/>
      <c r="BA30" s="65"/>
      <c r="BB30" s="65"/>
      <c r="BC30" s="66"/>
      <c r="BD30" s="66"/>
      <c r="BE30" s="66"/>
      <c r="BF30" s="66"/>
      <c r="BG30" s="66"/>
      <c r="BH30" s="65"/>
      <c r="BI30" s="65"/>
      <c r="BJ30" s="66"/>
      <c r="BK30" s="66"/>
      <c r="BL30" s="66"/>
      <c r="BM30" s="66"/>
      <c r="BN30" s="66"/>
      <c r="BO30" s="65"/>
      <c r="BP30" s="65"/>
      <c r="BQ30" s="66"/>
      <c r="BR30" s="66"/>
      <c r="BS30" s="66"/>
      <c r="BT30" s="66"/>
      <c r="BU30" s="66"/>
      <c r="BV30" s="65"/>
      <c r="BW30" s="65"/>
      <c r="BX30" s="66"/>
      <c r="BY30" s="66"/>
      <c r="BZ30" s="66"/>
      <c r="CA30" s="66"/>
      <c r="CB30" s="66"/>
    </row>
    <row r="31" ht="25.5" customHeight="1">
      <c r="A31" s="95"/>
      <c r="B31" s="31" t="s">
        <v>241</v>
      </c>
      <c r="C31" s="96" t="s">
        <v>242</v>
      </c>
      <c r="D31" s="31" t="s">
        <v>243</v>
      </c>
      <c r="E31" s="96" t="s">
        <v>244</v>
      </c>
      <c r="F31" s="78" t="s">
        <v>29</v>
      </c>
      <c r="G31" s="32">
        <v>46301.0</v>
      </c>
      <c r="H31" s="32">
        <v>46301.0</v>
      </c>
      <c r="I31" s="99">
        <v>0.04</v>
      </c>
      <c r="J31" s="81">
        <v>0.0</v>
      </c>
      <c r="K31" s="65"/>
      <c r="L31" s="65"/>
      <c r="M31" s="66"/>
      <c r="N31" s="66"/>
      <c r="O31" s="66"/>
      <c r="P31" s="66"/>
      <c r="Q31" s="66"/>
      <c r="R31" s="65"/>
      <c r="S31" s="65"/>
      <c r="T31" s="66"/>
      <c r="U31" s="66"/>
      <c r="V31" s="66"/>
      <c r="W31" s="66"/>
      <c r="X31" s="66"/>
      <c r="Y31" s="65"/>
      <c r="Z31" s="65"/>
      <c r="AA31" s="66"/>
      <c r="AB31" s="66"/>
      <c r="AC31" s="66"/>
      <c r="AD31" s="66"/>
      <c r="AE31" s="66"/>
      <c r="AF31" s="65"/>
      <c r="AG31" s="65"/>
      <c r="AH31" s="66"/>
      <c r="AI31" s="66"/>
      <c r="AJ31" s="66"/>
      <c r="AK31" s="66"/>
      <c r="AL31" s="66"/>
      <c r="AM31" s="65"/>
      <c r="AN31" s="65"/>
      <c r="AO31" s="66"/>
      <c r="AP31" s="66"/>
      <c r="AQ31" s="66"/>
      <c r="AR31" s="66"/>
      <c r="AS31" s="66"/>
      <c r="AT31" s="65"/>
      <c r="AU31" s="65"/>
      <c r="AV31" s="66"/>
      <c r="AW31" s="82"/>
      <c r="AX31" s="66"/>
      <c r="AY31" s="66"/>
      <c r="AZ31" s="66"/>
      <c r="BA31" s="65"/>
      <c r="BB31" s="65"/>
      <c r="BC31" s="66"/>
      <c r="BD31" s="66"/>
      <c r="BE31" s="66"/>
      <c r="BF31" s="66"/>
      <c r="BG31" s="66"/>
      <c r="BH31" s="65"/>
      <c r="BI31" s="65"/>
      <c r="BJ31" s="66"/>
      <c r="BK31" s="66"/>
      <c r="BL31" s="66"/>
      <c r="BM31" s="66"/>
      <c r="BN31" s="66"/>
      <c r="BO31" s="65"/>
      <c r="BP31" s="65"/>
      <c r="BQ31" s="66"/>
      <c r="BR31" s="66"/>
      <c r="BS31" s="66"/>
      <c r="BT31" s="66"/>
      <c r="BU31" s="66"/>
      <c r="BV31" s="65"/>
      <c r="BW31" s="65"/>
      <c r="BX31" s="66"/>
      <c r="BY31" s="66"/>
      <c r="BZ31" s="66"/>
      <c r="CA31" s="66"/>
      <c r="CB31" s="66"/>
    </row>
    <row r="32" ht="25.5" customHeight="1">
      <c r="A32" s="90"/>
      <c r="B32" s="91" t="s">
        <v>245</v>
      </c>
      <c r="C32" s="92" t="s">
        <v>246</v>
      </c>
      <c r="D32" s="91" t="s">
        <v>247</v>
      </c>
      <c r="E32" s="92" t="s">
        <v>248</v>
      </c>
      <c r="F32" s="70" t="s">
        <v>249</v>
      </c>
      <c r="G32" s="100">
        <v>46301.0</v>
      </c>
      <c r="H32" s="100">
        <v>46301.0</v>
      </c>
      <c r="I32" s="101">
        <v>0.03</v>
      </c>
      <c r="J32" s="73">
        <v>0.0</v>
      </c>
      <c r="K32" s="65"/>
      <c r="L32" s="65"/>
      <c r="M32" s="66"/>
      <c r="N32" s="66"/>
      <c r="O32" s="66"/>
      <c r="P32" s="66"/>
      <c r="Q32" s="66"/>
      <c r="R32" s="65"/>
      <c r="S32" s="65"/>
      <c r="T32" s="66"/>
      <c r="U32" s="66"/>
      <c r="V32" s="66"/>
      <c r="W32" s="66"/>
      <c r="X32" s="66"/>
      <c r="Y32" s="65"/>
      <c r="Z32" s="65"/>
      <c r="AA32" s="66"/>
      <c r="AB32" s="66"/>
      <c r="AC32" s="66"/>
      <c r="AD32" s="66"/>
      <c r="AE32" s="66"/>
      <c r="AF32" s="65"/>
      <c r="AG32" s="65"/>
      <c r="AH32" s="66"/>
      <c r="AI32" s="66"/>
      <c r="AJ32" s="66"/>
      <c r="AK32" s="66"/>
      <c r="AL32" s="66"/>
      <c r="AM32" s="65"/>
      <c r="AN32" s="65"/>
      <c r="AO32" s="66"/>
      <c r="AP32" s="66"/>
      <c r="AQ32" s="66"/>
      <c r="AR32" s="66"/>
      <c r="AS32" s="66"/>
      <c r="AT32" s="65"/>
      <c r="AU32" s="65"/>
      <c r="AV32" s="66"/>
      <c r="AW32" s="82"/>
      <c r="AX32" s="66"/>
      <c r="AY32" s="66"/>
      <c r="AZ32" s="66"/>
      <c r="BA32" s="65"/>
      <c r="BB32" s="65"/>
      <c r="BC32" s="66"/>
      <c r="BD32" s="66"/>
      <c r="BE32" s="66"/>
      <c r="BF32" s="66"/>
      <c r="BG32" s="66"/>
      <c r="BH32" s="65"/>
      <c r="BI32" s="65"/>
      <c r="BJ32" s="66"/>
      <c r="BK32" s="66"/>
      <c r="BL32" s="66"/>
      <c r="BM32" s="66"/>
      <c r="BN32" s="66"/>
      <c r="BO32" s="65"/>
      <c r="BP32" s="65"/>
      <c r="BQ32" s="66"/>
      <c r="BR32" s="66"/>
      <c r="BS32" s="66"/>
      <c r="BT32" s="66"/>
      <c r="BU32" s="66"/>
      <c r="BV32" s="65"/>
      <c r="BW32" s="65"/>
      <c r="BX32" s="66"/>
      <c r="BY32" s="66"/>
      <c r="BZ32" s="66"/>
      <c r="CA32" s="66"/>
      <c r="CB32" s="66"/>
    </row>
    <row r="33" ht="25.5" customHeight="1">
      <c r="A33" s="95"/>
      <c r="B33" s="31" t="s">
        <v>250</v>
      </c>
      <c r="C33" s="96" t="s">
        <v>251</v>
      </c>
      <c r="D33" s="31" t="s">
        <v>252</v>
      </c>
      <c r="E33" s="96" t="s">
        <v>253</v>
      </c>
      <c r="F33" s="78" t="s">
        <v>254</v>
      </c>
      <c r="G33" s="32">
        <v>46302.0</v>
      </c>
      <c r="H33" s="32">
        <v>46302.0</v>
      </c>
      <c r="I33" s="99">
        <v>0.03</v>
      </c>
      <c r="J33" s="81">
        <v>0.0</v>
      </c>
      <c r="K33" s="65"/>
      <c r="L33" s="65"/>
      <c r="M33" s="66"/>
      <c r="N33" s="66"/>
      <c r="O33" s="66"/>
      <c r="P33" s="66"/>
      <c r="Q33" s="66"/>
      <c r="R33" s="65"/>
      <c r="S33" s="65"/>
      <c r="T33" s="66"/>
      <c r="U33" s="66"/>
      <c r="V33" s="66"/>
      <c r="W33" s="66"/>
      <c r="X33" s="66"/>
      <c r="Y33" s="65"/>
      <c r="Z33" s="65"/>
      <c r="AA33" s="66"/>
      <c r="AB33" s="66"/>
      <c r="AC33" s="66"/>
      <c r="AD33" s="66"/>
      <c r="AE33" s="66"/>
      <c r="AF33" s="65"/>
      <c r="AG33" s="65"/>
      <c r="AH33" s="66"/>
      <c r="AI33" s="66"/>
      <c r="AJ33" s="66"/>
      <c r="AK33" s="66"/>
      <c r="AL33" s="66"/>
      <c r="AM33" s="65"/>
      <c r="AN33" s="65"/>
      <c r="AO33" s="66"/>
      <c r="AP33" s="66"/>
      <c r="AQ33" s="66"/>
      <c r="AR33" s="66"/>
      <c r="AS33" s="66"/>
      <c r="AT33" s="65"/>
      <c r="AU33" s="65"/>
      <c r="AV33" s="66"/>
      <c r="AW33" s="66"/>
      <c r="AX33" s="82"/>
      <c r="AY33" s="66"/>
      <c r="AZ33" s="66"/>
      <c r="BA33" s="65"/>
      <c r="BB33" s="65"/>
      <c r="BC33" s="66"/>
      <c r="BD33" s="66"/>
      <c r="BE33" s="66"/>
      <c r="BF33" s="66"/>
      <c r="BG33" s="66"/>
      <c r="BH33" s="65"/>
      <c r="BI33" s="65"/>
      <c r="BJ33" s="66"/>
      <c r="BK33" s="66"/>
      <c r="BL33" s="66"/>
      <c r="BM33" s="66"/>
      <c r="BN33" s="66"/>
      <c r="BO33" s="65"/>
      <c r="BP33" s="65"/>
      <c r="BQ33" s="66"/>
      <c r="BR33" s="66"/>
      <c r="BS33" s="66"/>
      <c r="BT33" s="66"/>
      <c r="BU33" s="66"/>
      <c r="BV33" s="65"/>
      <c r="BW33" s="65"/>
      <c r="BX33" s="66"/>
      <c r="BY33" s="66"/>
      <c r="BZ33" s="66"/>
      <c r="CA33" s="66"/>
      <c r="CB33" s="66"/>
    </row>
    <row r="34" ht="30.0" customHeight="1">
      <c r="A34" s="102" t="s">
        <v>255</v>
      </c>
      <c r="B34" s="103" t="s">
        <v>256</v>
      </c>
      <c r="C34" s="104" t="s">
        <v>255</v>
      </c>
      <c r="D34" s="105"/>
      <c r="E34" s="105"/>
      <c r="F34" s="105"/>
      <c r="G34" s="106">
        <f>MIN(G35,G40,G48,G58,G70,G82,G90,G101,G111,G121)</f>
        <v>46302</v>
      </c>
      <c r="H34" s="106">
        <f>MAX(H35,H40,H48,H58,H70,H82,H90,H101,H111,H121)</f>
        <v>46332</v>
      </c>
      <c r="I34" s="107">
        <f>SUM(I35,I40,I48,I58,I70,I82,I90,I101,I111,I121)</f>
        <v>0.45</v>
      </c>
      <c r="J34" s="108">
        <f>IFERROR((I35*J35+I40*J40+I48*J48+I58*J58+I70*J70+I82*J82+I90*J90+I101*J101+I111*J111+I121*J121)/SUM(I35,I40,I48,I58,I70,I82,I90,I101,I111,I121),0)</f>
        <v>0</v>
      </c>
      <c r="K34" s="109"/>
      <c r="L34" s="109"/>
      <c r="M34" s="110"/>
      <c r="N34" s="110"/>
      <c r="O34" s="110"/>
      <c r="P34" s="110"/>
      <c r="Q34" s="110"/>
      <c r="R34" s="109"/>
      <c r="S34" s="109"/>
      <c r="T34" s="110"/>
      <c r="U34" s="110"/>
      <c r="V34" s="110"/>
      <c r="W34" s="110"/>
      <c r="X34" s="110"/>
      <c r="Y34" s="109"/>
      <c r="Z34" s="109"/>
      <c r="AA34" s="110"/>
      <c r="AB34" s="110"/>
      <c r="AC34" s="110"/>
      <c r="AD34" s="110"/>
      <c r="AE34" s="110"/>
      <c r="AF34" s="109"/>
      <c r="AG34" s="109"/>
      <c r="AH34" s="110"/>
      <c r="AI34" s="110"/>
      <c r="AJ34" s="110"/>
      <c r="AK34" s="110"/>
      <c r="AL34" s="110"/>
      <c r="AM34" s="109"/>
      <c r="AN34" s="109"/>
      <c r="AO34" s="110"/>
      <c r="AP34" s="110"/>
      <c r="AQ34" s="110"/>
      <c r="AR34" s="110"/>
      <c r="AS34" s="110"/>
      <c r="AT34" s="109"/>
      <c r="AU34" s="109"/>
      <c r="AV34" s="110"/>
      <c r="AW34" s="110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1"/>
      <c r="BM34" s="111"/>
      <c r="BN34" s="111"/>
      <c r="BO34" s="111"/>
      <c r="BP34" s="111"/>
      <c r="BQ34" s="111"/>
      <c r="BR34" s="111"/>
      <c r="BS34" s="111"/>
      <c r="BT34" s="111"/>
      <c r="BU34" s="111"/>
      <c r="BV34" s="111"/>
      <c r="BW34" s="111"/>
      <c r="BX34" s="111"/>
      <c r="BY34" s="111"/>
      <c r="BZ34" s="111"/>
      <c r="CA34" s="111"/>
      <c r="CB34" s="111"/>
    </row>
    <row r="35" ht="30.0" customHeight="1">
      <c r="A35" s="105"/>
      <c r="B35" s="103" t="s">
        <v>257</v>
      </c>
      <c r="C35" s="104" t="s">
        <v>258</v>
      </c>
      <c r="D35" s="104"/>
      <c r="E35" s="104" t="s">
        <v>259</v>
      </c>
      <c r="F35" s="104"/>
      <c r="G35" s="106">
        <f>MIN(G36:G39)</f>
        <v>46302</v>
      </c>
      <c r="H35" s="106">
        <f>MAX(H36:H39)</f>
        <v>46306</v>
      </c>
      <c r="I35" s="107">
        <f>SUM(I36+I37+I38+I39)</f>
        <v>0.03</v>
      </c>
      <c r="J35" s="108">
        <f>IFERROR((I36*J36+I37*J37+I38*J38+I39*J39)/SUM(I36:I39),0)</f>
        <v>0</v>
      </c>
      <c r="K35" s="109"/>
      <c r="L35" s="109"/>
      <c r="M35" s="110"/>
      <c r="N35" s="110"/>
      <c r="O35" s="110"/>
      <c r="P35" s="110"/>
      <c r="Q35" s="110"/>
      <c r="R35" s="109"/>
      <c r="S35" s="109"/>
      <c r="T35" s="110"/>
      <c r="U35" s="110"/>
      <c r="V35" s="110"/>
      <c r="W35" s="110"/>
      <c r="X35" s="110"/>
      <c r="Y35" s="109"/>
      <c r="Z35" s="109"/>
      <c r="AA35" s="110"/>
      <c r="AB35" s="110"/>
      <c r="AC35" s="110"/>
      <c r="AD35" s="110"/>
      <c r="AE35" s="110"/>
      <c r="AF35" s="109"/>
      <c r="AG35" s="109"/>
      <c r="AH35" s="110"/>
      <c r="AI35" s="110"/>
      <c r="AJ35" s="110"/>
      <c r="AK35" s="110"/>
      <c r="AL35" s="110"/>
      <c r="AM35" s="109"/>
      <c r="AN35" s="109"/>
      <c r="AO35" s="110"/>
      <c r="AP35" s="110"/>
      <c r="AQ35" s="110"/>
      <c r="AR35" s="110"/>
      <c r="AS35" s="110"/>
      <c r="AT35" s="109"/>
      <c r="AU35" s="109"/>
      <c r="AV35" s="110"/>
      <c r="AW35" s="110"/>
      <c r="AX35" s="112"/>
      <c r="AY35" s="112"/>
      <c r="AZ35" s="112"/>
      <c r="BA35" s="112"/>
      <c r="BB35" s="112"/>
      <c r="BC35" s="112"/>
      <c r="BD35" s="110"/>
      <c r="BE35" s="110"/>
      <c r="BF35" s="110"/>
      <c r="BG35" s="110"/>
      <c r="BH35" s="109"/>
      <c r="BI35" s="109"/>
      <c r="BJ35" s="110"/>
      <c r="BK35" s="110"/>
      <c r="BL35" s="110"/>
      <c r="BM35" s="110"/>
      <c r="BN35" s="110"/>
      <c r="BO35" s="109"/>
      <c r="BP35" s="109"/>
      <c r="BQ35" s="110"/>
      <c r="BR35" s="110"/>
      <c r="BS35" s="110"/>
      <c r="BT35" s="110"/>
      <c r="BU35" s="110"/>
      <c r="BV35" s="109"/>
      <c r="BW35" s="109"/>
      <c r="BX35" s="110"/>
      <c r="BY35" s="110"/>
      <c r="BZ35" s="110"/>
      <c r="CA35" s="110"/>
      <c r="CB35" s="110"/>
    </row>
    <row r="36" ht="30.0" customHeight="1">
      <c r="A36" s="44"/>
      <c r="B36" s="113" t="s">
        <v>260</v>
      </c>
      <c r="C36" s="114" t="s">
        <v>261</v>
      </c>
      <c r="D36" s="115" t="s">
        <v>262</v>
      </c>
      <c r="E36" s="114" t="s">
        <v>263</v>
      </c>
      <c r="F36" s="116"/>
      <c r="G36" s="117">
        <v>46302.0</v>
      </c>
      <c r="H36" s="117">
        <v>46303.0</v>
      </c>
      <c r="I36" s="118">
        <v>0.0075</v>
      </c>
      <c r="J36" s="119">
        <v>0.0</v>
      </c>
      <c r="K36" s="109"/>
      <c r="L36" s="109"/>
      <c r="M36" s="110"/>
      <c r="N36" s="110"/>
      <c r="O36" s="110"/>
      <c r="P36" s="110"/>
      <c r="Q36" s="110"/>
      <c r="R36" s="109"/>
      <c r="S36" s="109"/>
      <c r="T36" s="110"/>
      <c r="U36" s="110"/>
      <c r="V36" s="110"/>
      <c r="W36" s="110"/>
      <c r="X36" s="110"/>
      <c r="Y36" s="109"/>
      <c r="Z36" s="109"/>
      <c r="AA36" s="110"/>
      <c r="AB36" s="110"/>
      <c r="AC36" s="110"/>
      <c r="AD36" s="110"/>
      <c r="AE36" s="110"/>
      <c r="AF36" s="109"/>
      <c r="AG36" s="109"/>
      <c r="AH36" s="110"/>
      <c r="AI36" s="110"/>
      <c r="AJ36" s="110"/>
      <c r="AK36" s="110"/>
      <c r="AL36" s="110"/>
      <c r="AM36" s="109"/>
      <c r="AN36" s="109"/>
      <c r="AO36" s="110"/>
      <c r="AP36" s="110"/>
      <c r="AQ36" s="110"/>
      <c r="AR36" s="110"/>
      <c r="AS36" s="110"/>
      <c r="AT36" s="109"/>
      <c r="AU36" s="109"/>
      <c r="AV36" s="110"/>
      <c r="AW36" s="110"/>
      <c r="AX36" s="120"/>
      <c r="AY36" s="120"/>
      <c r="AZ36" s="110"/>
      <c r="BA36" s="109"/>
      <c r="BB36" s="109"/>
      <c r="BC36" s="110"/>
      <c r="BD36" s="110"/>
      <c r="BE36" s="110"/>
      <c r="BF36" s="110"/>
      <c r="BG36" s="110"/>
      <c r="BH36" s="109"/>
      <c r="BI36" s="109"/>
      <c r="BJ36" s="110"/>
      <c r="BK36" s="110"/>
      <c r="BL36" s="110"/>
      <c r="BM36" s="110"/>
      <c r="BN36" s="110"/>
      <c r="BO36" s="109"/>
      <c r="BP36" s="109"/>
      <c r="BQ36" s="110"/>
      <c r="BR36" s="110"/>
      <c r="BS36" s="110"/>
      <c r="BT36" s="110"/>
      <c r="BU36" s="110"/>
      <c r="BV36" s="109"/>
      <c r="BW36" s="109"/>
      <c r="BX36" s="110"/>
      <c r="BY36" s="110"/>
      <c r="BZ36" s="110"/>
      <c r="CA36" s="110"/>
      <c r="CB36" s="110"/>
    </row>
    <row r="37" ht="30.0" customHeight="1">
      <c r="A37" s="44"/>
      <c r="B37" s="113" t="s">
        <v>264</v>
      </c>
      <c r="C37" s="114" t="s">
        <v>265</v>
      </c>
      <c r="D37" s="115" t="s">
        <v>262</v>
      </c>
      <c r="E37" s="114" t="s">
        <v>266</v>
      </c>
      <c r="F37" s="116"/>
      <c r="G37" s="117">
        <v>46302.0</v>
      </c>
      <c r="H37" s="117">
        <v>46303.0</v>
      </c>
      <c r="I37" s="118">
        <v>0.0075</v>
      </c>
      <c r="J37" s="119">
        <v>0.0</v>
      </c>
      <c r="K37" s="109"/>
      <c r="L37" s="109"/>
      <c r="M37" s="110"/>
      <c r="N37" s="110"/>
      <c r="O37" s="110"/>
      <c r="P37" s="110"/>
      <c r="Q37" s="110"/>
      <c r="R37" s="109"/>
      <c r="S37" s="109"/>
      <c r="T37" s="110"/>
      <c r="U37" s="110"/>
      <c r="V37" s="110"/>
      <c r="W37" s="110"/>
      <c r="X37" s="110"/>
      <c r="Y37" s="109"/>
      <c r="Z37" s="109"/>
      <c r="AA37" s="110"/>
      <c r="AB37" s="110"/>
      <c r="AC37" s="110"/>
      <c r="AD37" s="110"/>
      <c r="AE37" s="110"/>
      <c r="AF37" s="109"/>
      <c r="AG37" s="109"/>
      <c r="AH37" s="110"/>
      <c r="AI37" s="110"/>
      <c r="AJ37" s="110"/>
      <c r="AK37" s="110"/>
      <c r="AL37" s="110"/>
      <c r="AM37" s="109"/>
      <c r="AN37" s="109"/>
      <c r="AO37" s="110"/>
      <c r="AP37" s="110"/>
      <c r="AQ37" s="110"/>
      <c r="AR37" s="110"/>
      <c r="AS37" s="110"/>
      <c r="AT37" s="109"/>
      <c r="AU37" s="109"/>
      <c r="AV37" s="110"/>
      <c r="AW37" s="110"/>
      <c r="AX37" s="120"/>
      <c r="AY37" s="120"/>
      <c r="AZ37" s="120"/>
      <c r="BA37" s="109"/>
      <c r="BB37" s="109"/>
      <c r="BC37" s="110"/>
      <c r="BD37" s="110"/>
      <c r="BE37" s="110"/>
      <c r="BF37" s="110"/>
      <c r="BG37" s="110"/>
      <c r="BH37" s="109"/>
      <c r="BI37" s="109"/>
      <c r="BJ37" s="110"/>
      <c r="BK37" s="110"/>
      <c r="BL37" s="110"/>
      <c r="BM37" s="110"/>
      <c r="BN37" s="110"/>
      <c r="BO37" s="109"/>
      <c r="BP37" s="109"/>
      <c r="BQ37" s="110"/>
      <c r="BR37" s="110"/>
      <c r="BS37" s="110"/>
      <c r="BT37" s="110"/>
      <c r="BU37" s="110"/>
      <c r="BV37" s="109"/>
      <c r="BW37" s="109"/>
      <c r="BX37" s="110"/>
      <c r="BY37" s="110"/>
      <c r="BZ37" s="110"/>
      <c r="CA37" s="110"/>
      <c r="CB37" s="110"/>
    </row>
    <row r="38" ht="30.0" customHeight="1">
      <c r="A38" s="44"/>
      <c r="B38" s="113" t="s">
        <v>267</v>
      </c>
      <c r="C38" s="114" t="s">
        <v>268</v>
      </c>
      <c r="D38" s="115" t="s">
        <v>262</v>
      </c>
      <c r="E38" s="114" t="s">
        <v>269</v>
      </c>
      <c r="F38" s="116"/>
      <c r="G38" s="117">
        <v>46302.0</v>
      </c>
      <c r="H38" s="117">
        <v>46303.0</v>
      </c>
      <c r="I38" s="118">
        <v>0.0075</v>
      </c>
      <c r="J38" s="119">
        <v>0.0</v>
      </c>
      <c r="K38" s="109"/>
      <c r="L38" s="109"/>
      <c r="M38" s="110"/>
      <c r="N38" s="110"/>
      <c r="O38" s="110"/>
      <c r="P38" s="110"/>
      <c r="Q38" s="110"/>
      <c r="R38" s="109"/>
      <c r="S38" s="109"/>
      <c r="T38" s="110"/>
      <c r="U38" s="110"/>
      <c r="V38" s="110"/>
      <c r="W38" s="110"/>
      <c r="X38" s="110"/>
      <c r="Y38" s="109"/>
      <c r="Z38" s="109"/>
      <c r="AA38" s="110"/>
      <c r="AB38" s="110"/>
      <c r="AC38" s="110"/>
      <c r="AD38" s="110"/>
      <c r="AE38" s="110"/>
      <c r="AF38" s="109"/>
      <c r="AG38" s="109"/>
      <c r="AH38" s="110"/>
      <c r="AI38" s="110"/>
      <c r="AJ38" s="110"/>
      <c r="AK38" s="110"/>
      <c r="AL38" s="110"/>
      <c r="AM38" s="109"/>
      <c r="AN38" s="109"/>
      <c r="AO38" s="110"/>
      <c r="AP38" s="110"/>
      <c r="AQ38" s="110"/>
      <c r="AR38" s="110"/>
      <c r="AS38" s="110"/>
      <c r="AT38" s="109"/>
      <c r="AU38" s="109"/>
      <c r="AV38" s="110"/>
      <c r="AW38" s="110"/>
      <c r="AX38" s="120"/>
      <c r="AY38" s="120"/>
      <c r="AZ38" s="120"/>
      <c r="BA38" s="120"/>
      <c r="BB38" s="120"/>
      <c r="BC38" s="120"/>
      <c r="BD38" s="110"/>
      <c r="BE38" s="110"/>
      <c r="BF38" s="110"/>
      <c r="BG38" s="110"/>
      <c r="BH38" s="109"/>
      <c r="BI38" s="109"/>
      <c r="BJ38" s="110"/>
      <c r="BK38" s="110"/>
      <c r="BL38" s="110"/>
      <c r="BM38" s="110"/>
      <c r="BN38" s="110"/>
      <c r="BO38" s="109"/>
      <c r="BP38" s="109"/>
      <c r="BQ38" s="110"/>
      <c r="BR38" s="110"/>
      <c r="BS38" s="110"/>
      <c r="BT38" s="110"/>
      <c r="BU38" s="110"/>
      <c r="BV38" s="109"/>
      <c r="BW38" s="109"/>
      <c r="BX38" s="110"/>
      <c r="BY38" s="110"/>
      <c r="BZ38" s="110"/>
      <c r="CA38" s="110"/>
      <c r="CB38" s="110"/>
    </row>
    <row r="39" ht="30.0" customHeight="1">
      <c r="A39" s="44"/>
      <c r="B39" s="113" t="s">
        <v>270</v>
      </c>
      <c r="C39" s="114" t="s">
        <v>271</v>
      </c>
      <c r="D39" s="115" t="s">
        <v>262</v>
      </c>
      <c r="E39" s="114" t="s">
        <v>272</v>
      </c>
      <c r="F39" s="116"/>
      <c r="G39" s="117">
        <v>46304.0</v>
      </c>
      <c r="H39" s="117">
        <v>46306.0</v>
      </c>
      <c r="I39" s="118">
        <v>0.0075</v>
      </c>
      <c r="J39" s="119">
        <v>0.0</v>
      </c>
      <c r="K39" s="109"/>
      <c r="L39" s="109"/>
      <c r="M39" s="110"/>
      <c r="N39" s="110"/>
      <c r="O39" s="110"/>
      <c r="P39" s="110"/>
      <c r="Q39" s="110"/>
      <c r="R39" s="109"/>
      <c r="S39" s="109"/>
      <c r="T39" s="110"/>
      <c r="U39" s="110"/>
      <c r="V39" s="110"/>
      <c r="W39" s="110"/>
      <c r="X39" s="110"/>
      <c r="Y39" s="109"/>
      <c r="Z39" s="109"/>
      <c r="AA39" s="110"/>
      <c r="AB39" s="110"/>
      <c r="AC39" s="110"/>
      <c r="AD39" s="110"/>
      <c r="AE39" s="110"/>
      <c r="AF39" s="109"/>
      <c r="AG39" s="109"/>
      <c r="AH39" s="110"/>
      <c r="AI39" s="110"/>
      <c r="AJ39" s="110"/>
      <c r="AK39" s="110"/>
      <c r="AL39" s="110"/>
      <c r="AM39" s="109"/>
      <c r="AN39" s="109"/>
      <c r="AO39" s="110"/>
      <c r="AP39" s="110"/>
      <c r="AQ39" s="110"/>
      <c r="AR39" s="110"/>
      <c r="AS39" s="110"/>
      <c r="AT39" s="109"/>
      <c r="AU39" s="109"/>
      <c r="AV39" s="110"/>
      <c r="AW39" s="110"/>
      <c r="AX39" s="110"/>
      <c r="AY39" s="120"/>
      <c r="AZ39" s="120"/>
      <c r="BA39" s="120"/>
      <c r="BB39" s="120"/>
      <c r="BC39" s="120"/>
      <c r="BD39" s="110"/>
      <c r="BE39" s="110"/>
      <c r="BF39" s="110"/>
      <c r="BG39" s="110"/>
      <c r="BH39" s="109"/>
      <c r="BI39" s="109"/>
      <c r="BJ39" s="110"/>
      <c r="BK39" s="110"/>
      <c r="BL39" s="110"/>
      <c r="BM39" s="110"/>
      <c r="BN39" s="110"/>
      <c r="BO39" s="109"/>
      <c r="BP39" s="109"/>
      <c r="BQ39" s="110"/>
      <c r="BR39" s="110"/>
      <c r="BS39" s="110"/>
      <c r="BT39" s="110"/>
      <c r="BU39" s="110"/>
      <c r="BV39" s="109"/>
      <c r="BW39" s="109"/>
      <c r="BX39" s="110"/>
      <c r="BY39" s="110"/>
      <c r="BZ39" s="110"/>
      <c r="CA39" s="110"/>
      <c r="CB39" s="110"/>
    </row>
    <row r="40" ht="30.0" customHeight="1">
      <c r="A40" s="105"/>
      <c r="B40" s="103" t="s">
        <v>273</v>
      </c>
      <c r="C40" s="104" t="s">
        <v>274</v>
      </c>
      <c r="D40" s="104"/>
      <c r="E40" s="104" t="s">
        <v>21</v>
      </c>
      <c r="F40" s="104"/>
      <c r="G40" s="106">
        <f>MIN(G41:G47)</f>
        <v>46303</v>
      </c>
      <c r="H40" s="106">
        <f>MAX(H41:H47)</f>
        <v>46310</v>
      </c>
      <c r="I40" s="107">
        <f>SUM(I41:I47)</f>
        <v>0.02</v>
      </c>
      <c r="J40" s="108">
        <f>IFERROR((I41*J41+I42*J42+I43*J43+I44*J44+I45*J45+I46*J46+I47*J47)/SUM(I41:I47),0)</f>
        <v>0</v>
      </c>
      <c r="K40" s="109"/>
      <c r="L40" s="109"/>
      <c r="M40" s="110"/>
      <c r="N40" s="110"/>
      <c r="O40" s="110"/>
      <c r="P40" s="110"/>
      <c r="Q40" s="110"/>
      <c r="R40" s="109"/>
      <c r="S40" s="109"/>
      <c r="T40" s="110"/>
      <c r="U40" s="110"/>
      <c r="V40" s="110"/>
      <c r="W40" s="110"/>
      <c r="X40" s="110"/>
      <c r="Y40" s="109"/>
      <c r="Z40" s="109"/>
      <c r="AA40" s="110"/>
      <c r="AB40" s="110"/>
      <c r="AC40" s="110"/>
      <c r="AD40" s="110"/>
      <c r="AE40" s="110"/>
      <c r="AF40" s="109"/>
      <c r="AG40" s="109"/>
      <c r="AH40" s="110"/>
      <c r="AI40" s="110"/>
      <c r="AJ40" s="110"/>
      <c r="AK40" s="110"/>
      <c r="AL40" s="110"/>
      <c r="AM40" s="109"/>
      <c r="AN40" s="109"/>
      <c r="AO40" s="110"/>
      <c r="AP40" s="110"/>
      <c r="AQ40" s="110"/>
      <c r="AR40" s="110"/>
      <c r="AS40" s="110"/>
      <c r="AT40" s="109"/>
      <c r="AU40" s="109"/>
      <c r="AV40" s="110"/>
      <c r="AW40" s="110"/>
      <c r="AX40" s="110"/>
      <c r="AY40" s="112"/>
      <c r="AZ40" s="112"/>
      <c r="BA40" s="112"/>
      <c r="BB40" s="112"/>
      <c r="BC40" s="112"/>
      <c r="BD40" s="112"/>
      <c r="BE40" s="112"/>
      <c r="BF40" s="112"/>
      <c r="BG40" s="110"/>
      <c r="BH40" s="109"/>
      <c r="BI40" s="109"/>
      <c r="BJ40" s="110"/>
      <c r="BK40" s="110"/>
      <c r="BL40" s="110"/>
      <c r="BM40" s="110"/>
      <c r="BN40" s="110"/>
      <c r="BO40" s="109"/>
      <c r="BP40" s="109"/>
      <c r="BQ40" s="110"/>
      <c r="BR40" s="110"/>
      <c r="BS40" s="110"/>
      <c r="BT40" s="110"/>
      <c r="BU40" s="110"/>
      <c r="BV40" s="109"/>
      <c r="BW40" s="109"/>
      <c r="BX40" s="110"/>
      <c r="BY40" s="110"/>
      <c r="BZ40" s="110"/>
      <c r="CA40" s="110"/>
      <c r="CB40" s="110"/>
    </row>
    <row r="41" ht="30.0" customHeight="1">
      <c r="A41" s="44"/>
      <c r="B41" s="113" t="s">
        <v>275</v>
      </c>
      <c r="C41" s="114" t="s">
        <v>276</v>
      </c>
      <c r="D41" s="121" t="s">
        <v>277</v>
      </c>
      <c r="E41" s="114" t="s">
        <v>278</v>
      </c>
      <c r="F41" s="116"/>
      <c r="G41" s="117">
        <v>46303.0</v>
      </c>
      <c r="H41" s="117">
        <v>46304.0</v>
      </c>
      <c r="I41" s="118">
        <v>0.002</v>
      </c>
      <c r="J41" s="119">
        <v>0.0</v>
      </c>
      <c r="K41" s="109"/>
      <c r="L41" s="109"/>
      <c r="M41" s="110"/>
      <c r="N41" s="110"/>
      <c r="O41" s="110"/>
      <c r="P41" s="110"/>
      <c r="Q41" s="110"/>
      <c r="R41" s="109"/>
      <c r="S41" s="109"/>
      <c r="T41" s="110"/>
      <c r="U41" s="110"/>
      <c r="V41" s="110"/>
      <c r="W41" s="110"/>
      <c r="X41" s="110"/>
      <c r="Y41" s="109"/>
      <c r="Z41" s="109"/>
      <c r="AA41" s="110"/>
      <c r="AB41" s="110"/>
      <c r="AC41" s="110"/>
      <c r="AD41" s="110"/>
      <c r="AE41" s="110"/>
      <c r="AF41" s="109"/>
      <c r="AG41" s="109"/>
      <c r="AH41" s="110"/>
      <c r="AI41" s="110"/>
      <c r="AJ41" s="110"/>
      <c r="AK41" s="110"/>
      <c r="AL41" s="110"/>
      <c r="AM41" s="109"/>
      <c r="AN41" s="109"/>
      <c r="AO41" s="110"/>
      <c r="AP41" s="110"/>
      <c r="AQ41" s="110"/>
      <c r="AR41" s="110"/>
      <c r="AS41" s="110"/>
      <c r="AT41" s="109"/>
      <c r="AU41" s="109"/>
      <c r="AV41" s="110"/>
      <c r="AW41" s="110"/>
      <c r="AX41" s="110"/>
      <c r="AY41" s="122"/>
      <c r="AZ41" s="122"/>
      <c r="BA41" s="109"/>
      <c r="BB41" s="109"/>
      <c r="BC41" s="110"/>
      <c r="BD41" s="110"/>
      <c r="BE41" s="110"/>
      <c r="BF41" s="110"/>
      <c r="BG41" s="110"/>
      <c r="BH41" s="109"/>
      <c r="BI41" s="109"/>
      <c r="BJ41" s="110"/>
      <c r="BK41" s="110"/>
      <c r="BL41" s="110"/>
      <c r="BM41" s="110"/>
      <c r="BN41" s="110"/>
      <c r="BO41" s="109"/>
      <c r="BP41" s="109"/>
      <c r="BQ41" s="110"/>
      <c r="BR41" s="110"/>
      <c r="BS41" s="110"/>
      <c r="BT41" s="110"/>
      <c r="BU41" s="110"/>
      <c r="BV41" s="109"/>
      <c r="BW41" s="109"/>
      <c r="BX41" s="110"/>
      <c r="BY41" s="110"/>
      <c r="BZ41" s="110"/>
      <c r="CA41" s="110"/>
      <c r="CB41" s="110"/>
    </row>
    <row r="42" ht="30.0" customHeight="1">
      <c r="A42" s="44"/>
      <c r="B42" s="113" t="s">
        <v>279</v>
      </c>
      <c r="C42" s="114" t="s">
        <v>280</v>
      </c>
      <c r="D42" s="121" t="s">
        <v>277</v>
      </c>
      <c r="E42" s="114" t="s">
        <v>281</v>
      </c>
      <c r="F42" s="116"/>
      <c r="G42" s="117">
        <v>46303.0</v>
      </c>
      <c r="H42" s="117">
        <v>46307.0</v>
      </c>
      <c r="I42" s="118">
        <v>0.003</v>
      </c>
      <c r="J42" s="119">
        <v>0.0</v>
      </c>
      <c r="K42" s="109"/>
      <c r="L42" s="109"/>
      <c r="M42" s="110"/>
      <c r="N42" s="110"/>
      <c r="O42" s="110"/>
      <c r="P42" s="110"/>
      <c r="Q42" s="110"/>
      <c r="R42" s="109"/>
      <c r="S42" s="109"/>
      <c r="T42" s="110"/>
      <c r="U42" s="110"/>
      <c r="V42" s="110"/>
      <c r="W42" s="110"/>
      <c r="X42" s="110"/>
      <c r="Y42" s="109"/>
      <c r="Z42" s="109"/>
      <c r="AA42" s="110"/>
      <c r="AB42" s="110"/>
      <c r="AC42" s="110"/>
      <c r="AD42" s="110"/>
      <c r="AE42" s="110"/>
      <c r="AF42" s="109"/>
      <c r="AG42" s="109"/>
      <c r="AH42" s="110"/>
      <c r="AI42" s="110"/>
      <c r="AJ42" s="110"/>
      <c r="AK42" s="110"/>
      <c r="AL42" s="110"/>
      <c r="AM42" s="109"/>
      <c r="AN42" s="109"/>
      <c r="AO42" s="110"/>
      <c r="AP42" s="110"/>
      <c r="AQ42" s="110"/>
      <c r="AR42" s="110"/>
      <c r="AS42" s="110"/>
      <c r="AT42" s="109"/>
      <c r="AU42" s="109"/>
      <c r="AV42" s="110"/>
      <c r="AW42" s="110"/>
      <c r="AX42" s="110"/>
      <c r="AY42" s="122"/>
      <c r="AZ42" s="122"/>
      <c r="BA42" s="122"/>
      <c r="BB42" s="122"/>
      <c r="BC42" s="122"/>
      <c r="BD42" s="110"/>
      <c r="BE42" s="110"/>
      <c r="BF42" s="110"/>
      <c r="BG42" s="110"/>
      <c r="BH42" s="109"/>
      <c r="BI42" s="109"/>
      <c r="BJ42" s="110"/>
      <c r="BK42" s="110"/>
      <c r="BL42" s="110"/>
      <c r="BM42" s="110"/>
      <c r="BN42" s="110"/>
      <c r="BO42" s="109"/>
      <c r="BP42" s="109"/>
      <c r="BQ42" s="110"/>
      <c r="BR42" s="110"/>
      <c r="BS42" s="110"/>
      <c r="BT42" s="110"/>
      <c r="BU42" s="110"/>
      <c r="BV42" s="109"/>
      <c r="BW42" s="109"/>
      <c r="BX42" s="110"/>
      <c r="BY42" s="110"/>
      <c r="BZ42" s="110"/>
      <c r="CA42" s="110"/>
      <c r="CB42" s="110"/>
    </row>
    <row r="43" ht="30.0" customHeight="1">
      <c r="A43" s="44"/>
      <c r="B43" s="113" t="s">
        <v>282</v>
      </c>
      <c r="C43" s="114" t="s">
        <v>283</v>
      </c>
      <c r="D43" s="121" t="s">
        <v>277</v>
      </c>
      <c r="E43" s="114" t="s">
        <v>284</v>
      </c>
      <c r="F43" s="116"/>
      <c r="G43" s="117">
        <v>46304.0</v>
      </c>
      <c r="H43" s="117">
        <v>46308.0</v>
      </c>
      <c r="I43" s="118">
        <v>0.003</v>
      </c>
      <c r="J43" s="119">
        <v>0.0</v>
      </c>
      <c r="K43" s="109"/>
      <c r="L43" s="109"/>
      <c r="M43" s="110"/>
      <c r="N43" s="110"/>
      <c r="O43" s="110"/>
      <c r="P43" s="110"/>
      <c r="Q43" s="110"/>
      <c r="R43" s="109"/>
      <c r="S43" s="109"/>
      <c r="T43" s="110"/>
      <c r="U43" s="110"/>
      <c r="V43" s="110"/>
      <c r="W43" s="110"/>
      <c r="X43" s="110"/>
      <c r="Y43" s="109"/>
      <c r="Z43" s="109"/>
      <c r="AA43" s="110"/>
      <c r="AB43" s="110"/>
      <c r="AC43" s="110"/>
      <c r="AD43" s="110"/>
      <c r="AE43" s="110"/>
      <c r="AF43" s="109"/>
      <c r="AG43" s="109"/>
      <c r="AH43" s="110"/>
      <c r="AI43" s="110"/>
      <c r="AJ43" s="110"/>
      <c r="AK43" s="110"/>
      <c r="AL43" s="110"/>
      <c r="AM43" s="109"/>
      <c r="AN43" s="109"/>
      <c r="AO43" s="110"/>
      <c r="AP43" s="110"/>
      <c r="AQ43" s="110"/>
      <c r="AR43" s="110"/>
      <c r="AS43" s="110"/>
      <c r="AT43" s="109"/>
      <c r="AU43" s="109"/>
      <c r="AV43" s="110"/>
      <c r="AW43" s="110"/>
      <c r="AX43" s="110"/>
      <c r="AY43" s="110"/>
      <c r="AZ43" s="122"/>
      <c r="BA43" s="122"/>
      <c r="BB43" s="122"/>
      <c r="BC43" s="122"/>
      <c r="BD43" s="122"/>
      <c r="BE43" s="110"/>
      <c r="BF43" s="110"/>
      <c r="BG43" s="110"/>
      <c r="BH43" s="109"/>
      <c r="BI43" s="109"/>
      <c r="BJ43" s="110"/>
      <c r="BK43" s="110"/>
      <c r="BL43" s="110"/>
      <c r="BM43" s="110"/>
      <c r="BN43" s="110"/>
      <c r="BO43" s="109"/>
      <c r="BP43" s="109"/>
      <c r="BQ43" s="110"/>
      <c r="BR43" s="110"/>
      <c r="BS43" s="110"/>
      <c r="BT43" s="110"/>
      <c r="BU43" s="110"/>
      <c r="BV43" s="109"/>
      <c r="BW43" s="109"/>
      <c r="BX43" s="110"/>
      <c r="BY43" s="110"/>
      <c r="BZ43" s="110"/>
      <c r="CA43" s="110"/>
      <c r="CB43" s="110"/>
    </row>
    <row r="44" ht="30.0" customHeight="1">
      <c r="A44" s="44"/>
      <c r="B44" s="113" t="s">
        <v>285</v>
      </c>
      <c r="C44" s="114" t="s">
        <v>286</v>
      </c>
      <c r="D44" s="121" t="s">
        <v>277</v>
      </c>
      <c r="E44" s="114" t="s">
        <v>287</v>
      </c>
      <c r="F44" s="116"/>
      <c r="G44" s="117">
        <v>46307.0</v>
      </c>
      <c r="H44" s="117">
        <v>46310.0</v>
      </c>
      <c r="I44" s="118">
        <v>0.0035</v>
      </c>
      <c r="J44" s="119">
        <v>0.0</v>
      </c>
      <c r="K44" s="109"/>
      <c r="L44" s="109"/>
      <c r="M44" s="110"/>
      <c r="N44" s="110"/>
      <c r="O44" s="110"/>
      <c r="P44" s="110"/>
      <c r="Q44" s="110"/>
      <c r="R44" s="109"/>
      <c r="S44" s="109"/>
      <c r="T44" s="110"/>
      <c r="U44" s="110"/>
      <c r="V44" s="110"/>
      <c r="W44" s="110"/>
      <c r="X44" s="110"/>
      <c r="Y44" s="109"/>
      <c r="Z44" s="109"/>
      <c r="AA44" s="110"/>
      <c r="AB44" s="110"/>
      <c r="AC44" s="110"/>
      <c r="AD44" s="110"/>
      <c r="AE44" s="110"/>
      <c r="AF44" s="109"/>
      <c r="AG44" s="109"/>
      <c r="AH44" s="110"/>
      <c r="AI44" s="110"/>
      <c r="AJ44" s="110"/>
      <c r="AK44" s="110"/>
      <c r="AL44" s="110"/>
      <c r="AM44" s="109"/>
      <c r="AN44" s="109"/>
      <c r="AO44" s="110"/>
      <c r="AP44" s="110"/>
      <c r="AQ44" s="110"/>
      <c r="AR44" s="110"/>
      <c r="AS44" s="110"/>
      <c r="AT44" s="109"/>
      <c r="AU44" s="109"/>
      <c r="AV44" s="110"/>
      <c r="AW44" s="110"/>
      <c r="AX44" s="110"/>
      <c r="AY44" s="110"/>
      <c r="AZ44" s="110"/>
      <c r="BA44" s="109"/>
      <c r="BB44" s="109"/>
      <c r="BC44" s="122"/>
      <c r="BD44" s="122"/>
      <c r="BE44" s="122"/>
      <c r="BF44" s="122"/>
      <c r="BG44" s="110"/>
      <c r="BH44" s="109"/>
      <c r="BI44" s="109"/>
      <c r="BJ44" s="110"/>
      <c r="BK44" s="110"/>
      <c r="BL44" s="110"/>
      <c r="BM44" s="110"/>
      <c r="BN44" s="110"/>
      <c r="BO44" s="109"/>
      <c r="BP44" s="109"/>
      <c r="BQ44" s="110"/>
      <c r="BR44" s="110"/>
      <c r="BS44" s="110"/>
      <c r="BT44" s="110"/>
      <c r="BU44" s="110"/>
      <c r="BV44" s="109"/>
      <c r="BW44" s="109"/>
      <c r="BX44" s="110"/>
      <c r="BY44" s="110"/>
      <c r="BZ44" s="110"/>
      <c r="CA44" s="110"/>
      <c r="CB44" s="110"/>
    </row>
    <row r="45" ht="30.0" customHeight="1">
      <c r="A45" s="44"/>
      <c r="B45" s="113" t="s">
        <v>288</v>
      </c>
      <c r="C45" s="114" t="s">
        <v>289</v>
      </c>
      <c r="D45" s="121" t="s">
        <v>277</v>
      </c>
      <c r="E45" s="114" t="s">
        <v>290</v>
      </c>
      <c r="F45" s="116"/>
      <c r="G45" s="117">
        <v>46307.0</v>
      </c>
      <c r="H45" s="117">
        <v>46308.0</v>
      </c>
      <c r="I45" s="118">
        <v>0.002</v>
      </c>
      <c r="J45" s="119">
        <v>0.0</v>
      </c>
      <c r="K45" s="109"/>
      <c r="L45" s="109"/>
      <c r="M45" s="110"/>
      <c r="N45" s="110"/>
      <c r="O45" s="110"/>
      <c r="P45" s="110"/>
      <c r="Q45" s="110"/>
      <c r="R45" s="109"/>
      <c r="S45" s="109"/>
      <c r="T45" s="110"/>
      <c r="U45" s="110"/>
      <c r="V45" s="110"/>
      <c r="W45" s="110"/>
      <c r="X45" s="110"/>
      <c r="Y45" s="109"/>
      <c r="Z45" s="109"/>
      <c r="AA45" s="110"/>
      <c r="AB45" s="110"/>
      <c r="AC45" s="110"/>
      <c r="AD45" s="110"/>
      <c r="AE45" s="110"/>
      <c r="AF45" s="109"/>
      <c r="AG45" s="109"/>
      <c r="AH45" s="110"/>
      <c r="AI45" s="110"/>
      <c r="AJ45" s="110"/>
      <c r="AK45" s="110"/>
      <c r="AL45" s="110"/>
      <c r="AM45" s="109"/>
      <c r="AN45" s="109"/>
      <c r="AO45" s="110"/>
      <c r="AP45" s="110"/>
      <c r="AQ45" s="110"/>
      <c r="AR45" s="110"/>
      <c r="AS45" s="110"/>
      <c r="AT45" s="109"/>
      <c r="AU45" s="109"/>
      <c r="AV45" s="110"/>
      <c r="AW45" s="110"/>
      <c r="AX45" s="110"/>
      <c r="AY45" s="110"/>
      <c r="AZ45" s="110"/>
      <c r="BA45" s="109"/>
      <c r="BB45" s="109"/>
      <c r="BC45" s="122"/>
      <c r="BD45" s="122"/>
      <c r="BE45" s="110"/>
      <c r="BF45" s="110"/>
      <c r="BG45" s="110"/>
      <c r="BH45" s="109"/>
      <c r="BI45" s="109"/>
      <c r="BJ45" s="110"/>
      <c r="BK45" s="110"/>
      <c r="BL45" s="110"/>
      <c r="BM45" s="110"/>
      <c r="BN45" s="110"/>
      <c r="BO45" s="109"/>
      <c r="BP45" s="109"/>
      <c r="BQ45" s="110"/>
      <c r="BR45" s="110"/>
      <c r="BS45" s="110"/>
      <c r="BT45" s="110"/>
      <c r="BU45" s="110"/>
      <c r="BV45" s="109"/>
      <c r="BW45" s="109"/>
      <c r="BX45" s="110"/>
      <c r="BY45" s="110"/>
      <c r="BZ45" s="110"/>
      <c r="CA45" s="110"/>
      <c r="CB45" s="110"/>
    </row>
    <row r="46" ht="30.0" customHeight="1">
      <c r="A46" s="44"/>
      <c r="B46" s="113" t="s">
        <v>291</v>
      </c>
      <c r="C46" s="114" t="s">
        <v>292</v>
      </c>
      <c r="D46" s="121" t="s">
        <v>277</v>
      </c>
      <c r="E46" s="114" t="s">
        <v>293</v>
      </c>
      <c r="F46" s="116"/>
      <c r="G46" s="117">
        <v>46309.0</v>
      </c>
      <c r="H46" s="117">
        <v>46310.0</v>
      </c>
      <c r="I46" s="118">
        <v>0.003</v>
      </c>
      <c r="J46" s="119">
        <v>0.0</v>
      </c>
      <c r="K46" s="109"/>
      <c r="L46" s="109"/>
      <c r="M46" s="110"/>
      <c r="N46" s="110"/>
      <c r="O46" s="110"/>
      <c r="P46" s="110"/>
      <c r="Q46" s="110"/>
      <c r="R46" s="109"/>
      <c r="S46" s="109"/>
      <c r="T46" s="110"/>
      <c r="U46" s="110"/>
      <c r="V46" s="110"/>
      <c r="W46" s="110"/>
      <c r="X46" s="110"/>
      <c r="Y46" s="109"/>
      <c r="Z46" s="109"/>
      <c r="AA46" s="110"/>
      <c r="AB46" s="110"/>
      <c r="AC46" s="110"/>
      <c r="AD46" s="110"/>
      <c r="AE46" s="110"/>
      <c r="AF46" s="109"/>
      <c r="AG46" s="109"/>
      <c r="AH46" s="110"/>
      <c r="AI46" s="110"/>
      <c r="AJ46" s="110"/>
      <c r="AK46" s="110"/>
      <c r="AL46" s="110"/>
      <c r="AM46" s="109"/>
      <c r="AN46" s="109"/>
      <c r="AO46" s="110"/>
      <c r="AP46" s="110"/>
      <c r="AQ46" s="110"/>
      <c r="AR46" s="110"/>
      <c r="AS46" s="110"/>
      <c r="AT46" s="109"/>
      <c r="AU46" s="109"/>
      <c r="AV46" s="110"/>
      <c r="AW46" s="110"/>
      <c r="AX46" s="110"/>
      <c r="AY46" s="110"/>
      <c r="AZ46" s="110"/>
      <c r="BA46" s="109"/>
      <c r="BB46" s="109"/>
      <c r="BC46" s="110"/>
      <c r="BD46" s="110"/>
      <c r="BE46" s="122"/>
      <c r="BF46" s="122"/>
      <c r="BG46" s="110"/>
      <c r="BH46" s="109"/>
      <c r="BI46" s="109"/>
      <c r="BJ46" s="110"/>
      <c r="BK46" s="110"/>
      <c r="BL46" s="110"/>
      <c r="BM46" s="110"/>
      <c r="BN46" s="110"/>
      <c r="BO46" s="109"/>
      <c r="BP46" s="109"/>
      <c r="BQ46" s="110"/>
      <c r="BR46" s="110"/>
      <c r="BS46" s="110"/>
      <c r="BT46" s="110"/>
      <c r="BU46" s="110"/>
      <c r="BV46" s="109"/>
      <c r="BW46" s="109"/>
      <c r="BX46" s="110"/>
      <c r="BY46" s="110"/>
      <c r="BZ46" s="110"/>
      <c r="CA46" s="110"/>
      <c r="CB46" s="110"/>
    </row>
    <row r="47" ht="30.0" customHeight="1">
      <c r="A47" s="44"/>
      <c r="B47" s="113" t="s">
        <v>294</v>
      </c>
      <c r="C47" s="114" t="s">
        <v>295</v>
      </c>
      <c r="D47" s="121" t="s">
        <v>277</v>
      </c>
      <c r="E47" s="114" t="s">
        <v>296</v>
      </c>
      <c r="F47" s="116"/>
      <c r="G47" s="117">
        <v>46309.0</v>
      </c>
      <c r="H47" s="117">
        <v>46310.0</v>
      </c>
      <c r="I47" s="118">
        <v>0.0035</v>
      </c>
      <c r="J47" s="119">
        <v>0.0</v>
      </c>
      <c r="K47" s="109"/>
      <c r="L47" s="109"/>
      <c r="M47" s="110"/>
      <c r="N47" s="110"/>
      <c r="O47" s="110"/>
      <c r="P47" s="110"/>
      <c r="Q47" s="110"/>
      <c r="R47" s="109"/>
      <c r="S47" s="109"/>
      <c r="T47" s="110"/>
      <c r="U47" s="110"/>
      <c r="V47" s="110"/>
      <c r="W47" s="110"/>
      <c r="X47" s="110"/>
      <c r="Y47" s="109"/>
      <c r="Z47" s="109"/>
      <c r="AA47" s="110"/>
      <c r="AB47" s="110"/>
      <c r="AC47" s="110"/>
      <c r="AD47" s="110"/>
      <c r="AE47" s="110"/>
      <c r="AF47" s="109"/>
      <c r="AG47" s="109"/>
      <c r="AH47" s="110"/>
      <c r="AI47" s="110"/>
      <c r="AJ47" s="110"/>
      <c r="AK47" s="110"/>
      <c r="AL47" s="110"/>
      <c r="AM47" s="109"/>
      <c r="AN47" s="109"/>
      <c r="AO47" s="110"/>
      <c r="AP47" s="110"/>
      <c r="AQ47" s="110"/>
      <c r="AR47" s="110"/>
      <c r="AS47" s="110"/>
      <c r="AT47" s="109"/>
      <c r="AU47" s="109"/>
      <c r="AV47" s="110"/>
      <c r="AW47" s="110"/>
      <c r="AX47" s="110"/>
      <c r="AY47" s="110"/>
      <c r="AZ47" s="110"/>
      <c r="BA47" s="109"/>
      <c r="BB47" s="109"/>
      <c r="BC47" s="110"/>
      <c r="BD47" s="110"/>
      <c r="BE47" s="122"/>
      <c r="BF47" s="122"/>
      <c r="BG47" s="110"/>
      <c r="BH47" s="109"/>
      <c r="BI47" s="109"/>
      <c r="BJ47" s="110"/>
      <c r="BK47" s="110"/>
      <c r="BL47" s="110"/>
      <c r="BM47" s="110"/>
      <c r="BN47" s="110"/>
      <c r="BO47" s="109"/>
      <c r="BP47" s="109"/>
      <c r="BQ47" s="110"/>
      <c r="BR47" s="110"/>
      <c r="BS47" s="110"/>
      <c r="BT47" s="110"/>
      <c r="BU47" s="110"/>
      <c r="BV47" s="109"/>
      <c r="BW47" s="109"/>
      <c r="BX47" s="110"/>
      <c r="BY47" s="110"/>
      <c r="BZ47" s="110"/>
      <c r="CA47" s="110"/>
      <c r="CB47" s="110"/>
    </row>
    <row r="48" ht="30.0" customHeight="1">
      <c r="A48" s="105"/>
      <c r="B48" s="103" t="s">
        <v>297</v>
      </c>
      <c r="C48" s="104" t="s">
        <v>298</v>
      </c>
      <c r="D48" s="104"/>
      <c r="E48" s="104" t="s">
        <v>25</v>
      </c>
      <c r="F48" s="104"/>
      <c r="G48" s="106">
        <f>MIN(G49:G57)</f>
        <v>46308</v>
      </c>
      <c r="H48" s="106">
        <f>MAX(H49:H57)</f>
        <v>46318</v>
      </c>
      <c r="I48" s="107">
        <f>SUM(I49:I57)</f>
        <v>0.03</v>
      </c>
      <c r="J48" s="108">
        <f>IFERROR((I49*J49+I50*J50+I51*J51+I52*J52+I53*J53+I54*J54+I55*J55+I56*J56+I57*J57)/SUM(I49:I57),0)</f>
        <v>0</v>
      </c>
      <c r="K48" s="109"/>
      <c r="L48" s="109"/>
      <c r="M48" s="110"/>
      <c r="N48" s="110"/>
      <c r="O48" s="110"/>
      <c r="P48" s="110"/>
      <c r="Q48" s="110"/>
      <c r="R48" s="109"/>
      <c r="S48" s="109"/>
      <c r="T48" s="110"/>
      <c r="U48" s="110"/>
      <c r="V48" s="110"/>
      <c r="W48" s="110"/>
      <c r="X48" s="110"/>
      <c r="Y48" s="109"/>
      <c r="Z48" s="109"/>
      <c r="AA48" s="110"/>
      <c r="AB48" s="110"/>
      <c r="AC48" s="110"/>
      <c r="AD48" s="110"/>
      <c r="AE48" s="110"/>
      <c r="AF48" s="109"/>
      <c r="AG48" s="109"/>
      <c r="AH48" s="110"/>
      <c r="AI48" s="110"/>
      <c r="AJ48" s="110"/>
      <c r="AK48" s="110"/>
      <c r="AL48" s="110"/>
      <c r="AM48" s="109"/>
      <c r="AN48" s="109"/>
      <c r="AO48" s="110"/>
      <c r="AP48" s="110"/>
      <c r="AQ48" s="110"/>
      <c r="AR48" s="110"/>
      <c r="AS48" s="110"/>
      <c r="AT48" s="109"/>
      <c r="AU48" s="109"/>
      <c r="AV48" s="110"/>
      <c r="AW48" s="110"/>
      <c r="AX48" s="110"/>
      <c r="AY48" s="110"/>
      <c r="AZ48" s="110"/>
      <c r="BA48" s="109"/>
      <c r="BB48" s="109"/>
      <c r="BC48" s="110"/>
      <c r="BD48" s="112"/>
      <c r="BE48" s="112"/>
      <c r="BF48" s="112"/>
      <c r="BG48" s="112"/>
      <c r="BH48" s="112"/>
      <c r="BI48" s="112"/>
      <c r="BJ48" s="112"/>
      <c r="BK48" s="112"/>
      <c r="BL48" s="112"/>
      <c r="BM48" s="112"/>
      <c r="BN48" s="112"/>
      <c r="BO48" s="109"/>
      <c r="BP48" s="109"/>
      <c r="BQ48" s="110"/>
      <c r="BR48" s="110"/>
      <c r="BS48" s="110"/>
      <c r="BT48" s="110"/>
      <c r="BU48" s="110"/>
      <c r="BV48" s="109"/>
      <c r="BW48" s="109"/>
      <c r="BX48" s="110"/>
      <c r="BY48" s="110"/>
      <c r="BZ48" s="110"/>
      <c r="CA48" s="110"/>
      <c r="CB48" s="110"/>
    </row>
    <row r="49" ht="30.0" customHeight="1">
      <c r="A49" s="44"/>
      <c r="B49" s="113" t="s">
        <v>299</v>
      </c>
      <c r="C49" s="114" t="s">
        <v>300</v>
      </c>
      <c r="D49" s="121" t="s">
        <v>277</v>
      </c>
      <c r="E49" s="114" t="s">
        <v>301</v>
      </c>
      <c r="F49" s="116"/>
      <c r="G49" s="117">
        <v>46308.0</v>
      </c>
      <c r="H49" s="117">
        <v>46309.0</v>
      </c>
      <c r="I49" s="118">
        <v>0.0025</v>
      </c>
      <c r="J49" s="119">
        <v>0.0</v>
      </c>
      <c r="K49" s="109"/>
      <c r="L49" s="109"/>
      <c r="M49" s="110"/>
      <c r="N49" s="110"/>
      <c r="O49" s="110"/>
      <c r="P49" s="110"/>
      <c r="Q49" s="110"/>
      <c r="R49" s="109"/>
      <c r="S49" s="109"/>
      <c r="T49" s="110"/>
      <c r="U49" s="110"/>
      <c r="V49" s="110"/>
      <c r="W49" s="110"/>
      <c r="X49" s="110"/>
      <c r="Y49" s="109"/>
      <c r="Z49" s="109"/>
      <c r="AA49" s="110"/>
      <c r="AB49" s="110"/>
      <c r="AC49" s="110"/>
      <c r="AD49" s="110"/>
      <c r="AE49" s="110"/>
      <c r="AF49" s="109"/>
      <c r="AG49" s="109"/>
      <c r="AH49" s="110"/>
      <c r="AI49" s="110"/>
      <c r="AJ49" s="110"/>
      <c r="AK49" s="110"/>
      <c r="AL49" s="110"/>
      <c r="AM49" s="109"/>
      <c r="AN49" s="109"/>
      <c r="AO49" s="110"/>
      <c r="AP49" s="110"/>
      <c r="AQ49" s="110"/>
      <c r="AR49" s="110"/>
      <c r="AS49" s="110"/>
      <c r="AT49" s="109"/>
      <c r="AU49" s="109"/>
      <c r="AV49" s="110"/>
      <c r="AW49" s="110"/>
      <c r="AX49" s="110"/>
      <c r="AY49" s="110"/>
      <c r="AZ49" s="110"/>
      <c r="BA49" s="109"/>
      <c r="BB49" s="109"/>
      <c r="BC49" s="110"/>
      <c r="BD49" s="123"/>
      <c r="BE49" s="123"/>
      <c r="BF49" s="110"/>
      <c r="BG49" s="110"/>
      <c r="BH49" s="109"/>
      <c r="BI49" s="109"/>
      <c r="BJ49" s="110"/>
      <c r="BK49" s="110"/>
      <c r="BL49" s="110"/>
      <c r="BM49" s="110"/>
      <c r="BN49" s="110"/>
      <c r="BO49" s="109"/>
      <c r="BP49" s="109"/>
      <c r="BQ49" s="110"/>
      <c r="BR49" s="110"/>
      <c r="BS49" s="110"/>
      <c r="BT49" s="110"/>
      <c r="BU49" s="110"/>
      <c r="BV49" s="109"/>
      <c r="BW49" s="109"/>
      <c r="BX49" s="110"/>
      <c r="BY49" s="110"/>
      <c r="BZ49" s="110"/>
      <c r="CA49" s="110"/>
      <c r="CB49" s="110"/>
    </row>
    <row r="50" ht="30.0" customHeight="1">
      <c r="A50" s="44"/>
      <c r="B50" s="113" t="s">
        <v>302</v>
      </c>
      <c r="C50" s="114" t="s">
        <v>303</v>
      </c>
      <c r="D50" s="121" t="s">
        <v>277</v>
      </c>
      <c r="E50" s="114" t="s">
        <v>304</v>
      </c>
      <c r="F50" s="116"/>
      <c r="G50" s="117">
        <v>46308.0</v>
      </c>
      <c r="H50" s="117">
        <v>46311.0</v>
      </c>
      <c r="I50" s="118">
        <v>0.0055</v>
      </c>
      <c r="J50" s="119">
        <v>0.0</v>
      </c>
      <c r="K50" s="109"/>
      <c r="L50" s="109"/>
      <c r="M50" s="110"/>
      <c r="N50" s="110"/>
      <c r="O50" s="110"/>
      <c r="P50" s="110"/>
      <c r="Q50" s="110"/>
      <c r="R50" s="109"/>
      <c r="S50" s="109"/>
      <c r="T50" s="110"/>
      <c r="U50" s="110"/>
      <c r="V50" s="110"/>
      <c r="W50" s="110"/>
      <c r="X50" s="110"/>
      <c r="Y50" s="109"/>
      <c r="Z50" s="109"/>
      <c r="AA50" s="110"/>
      <c r="AB50" s="110"/>
      <c r="AC50" s="110"/>
      <c r="AD50" s="110"/>
      <c r="AE50" s="110"/>
      <c r="AF50" s="109"/>
      <c r="AG50" s="109"/>
      <c r="AH50" s="110"/>
      <c r="AI50" s="110"/>
      <c r="AJ50" s="110"/>
      <c r="AK50" s="110"/>
      <c r="AL50" s="110"/>
      <c r="AM50" s="109"/>
      <c r="AN50" s="109"/>
      <c r="AO50" s="110"/>
      <c r="AP50" s="110"/>
      <c r="AQ50" s="110"/>
      <c r="AR50" s="110"/>
      <c r="AS50" s="110"/>
      <c r="AT50" s="109"/>
      <c r="AU50" s="109"/>
      <c r="AV50" s="110"/>
      <c r="AW50" s="110"/>
      <c r="AX50" s="110"/>
      <c r="AY50" s="110"/>
      <c r="AZ50" s="110"/>
      <c r="BA50" s="109"/>
      <c r="BB50" s="109"/>
      <c r="BC50" s="110"/>
      <c r="BD50" s="123"/>
      <c r="BE50" s="123"/>
      <c r="BF50" s="123"/>
      <c r="BG50" s="123"/>
      <c r="BH50" s="109"/>
      <c r="BI50" s="109"/>
      <c r="BJ50" s="110"/>
      <c r="BK50" s="110"/>
      <c r="BL50" s="110"/>
      <c r="BM50" s="110"/>
      <c r="BN50" s="110"/>
      <c r="BO50" s="109"/>
      <c r="BP50" s="109"/>
      <c r="BQ50" s="110"/>
      <c r="BR50" s="110"/>
      <c r="BS50" s="110"/>
      <c r="BT50" s="110"/>
      <c r="BU50" s="110"/>
      <c r="BV50" s="109"/>
      <c r="BW50" s="109"/>
      <c r="BX50" s="110"/>
      <c r="BY50" s="110"/>
      <c r="BZ50" s="110"/>
      <c r="CA50" s="110"/>
      <c r="CB50" s="110"/>
    </row>
    <row r="51" ht="30.0" customHeight="1">
      <c r="A51" s="44"/>
      <c r="B51" s="113" t="s">
        <v>305</v>
      </c>
      <c r="C51" s="114" t="s">
        <v>306</v>
      </c>
      <c r="D51" s="121" t="s">
        <v>277</v>
      </c>
      <c r="E51" s="114" t="s">
        <v>307</v>
      </c>
      <c r="F51" s="116"/>
      <c r="G51" s="117">
        <v>46310.0</v>
      </c>
      <c r="H51" s="117">
        <v>46311.0</v>
      </c>
      <c r="I51" s="118">
        <v>0.0025</v>
      </c>
      <c r="J51" s="119">
        <v>0.0</v>
      </c>
      <c r="K51" s="109"/>
      <c r="L51" s="109"/>
      <c r="M51" s="110"/>
      <c r="N51" s="110"/>
      <c r="O51" s="110"/>
      <c r="P51" s="110"/>
      <c r="Q51" s="110"/>
      <c r="R51" s="109"/>
      <c r="S51" s="109"/>
      <c r="T51" s="110"/>
      <c r="U51" s="110"/>
      <c r="V51" s="110"/>
      <c r="W51" s="110"/>
      <c r="X51" s="110"/>
      <c r="Y51" s="109"/>
      <c r="Z51" s="109"/>
      <c r="AA51" s="110"/>
      <c r="AB51" s="110"/>
      <c r="AC51" s="110"/>
      <c r="AD51" s="110"/>
      <c r="AE51" s="110"/>
      <c r="AF51" s="109"/>
      <c r="AG51" s="109"/>
      <c r="AH51" s="110"/>
      <c r="AI51" s="110"/>
      <c r="AJ51" s="110"/>
      <c r="AK51" s="110"/>
      <c r="AL51" s="110"/>
      <c r="AM51" s="109"/>
      <c r="AN51" s="109"/>
      <c r="AO51" s="110"/>
      <c r="AP51" s="110"/>
      <c r="AQ51" s="110"/>
      <c r="AR51" s="110"/>
      <c r="AS51" s="110"/>
      <c r="AT51" s="109"/>
      <c r="AU51" s="109"/>
      <c r="AV51" s="110"/>
      <c r="AW51" s="110"/>
      <c r="AX51" s="110"/>
      <c r="AY51" s="110"/>
      <c r="AZ51" s="110"/>
      <c r="BA51" s="109"/>
      <c r="BB51" s="109"/>
      <c r="BC51" s="110"/>
      <c r="BD51" s="110"/>
      <c r="BE51" s="110"/>
      <c r="BF51" s="123"/>
      <c r="BG51" s="123"/>
      <c r="BH51" s="109"/>
      <c r="BI51" s="109"/>
      <c r="BJ51" s="110"/>
      <c r="BK51" s="110"/>
      <c r="BL51" s="110"/>
      <c r="BM51" s="110"/>
      <c r="BN51" s="110"/>
      <c r="BO51" s="109"/>
      <c r="BP51" s="109"/>
      <c r="BQ51" s="110"/>
      <c r="BR51" s="110"/>
      <c r="BS51" s="110"/>
      <c r="BT51" s="110"/>
      <c r="BU51" s="110"/>
      <c r="BV51" s="109"/>
      <c r="BW51" s="109"/>
      <c r="BX51" s="110"/>
      <c r="BY51" s="110"/>
      <c r="BZ51" s="110"/>
      <c r="CA51" s="110"/>
      <c r="CB51" s="110"/>
    </row>
    <row r="52" ht="30.0" customHeight="1">
      <c r="A52" s="44"/>
      <c r="B52" s="113" t="s">
        <v>308</v>
      </c>
      <c r="C52" s="114" t="s">
        <v>309</v>
      </c>
      <c r="D52" s="121" t="s">
        <v>277</v>
      </c>
      <c r="E52" s="114" t="s">
        <v>310</v>
      </c>
      <c r="F52" s="116"/>
      <c r="G52" s="117">
        <v>46308.0</v>
      </c>
      <c r="H52" s="117">
        <v>46311.0</v>
      </c>
      <c r="I52" s="118">
        <v>0.0045</v>
      </c>
      <c r="J52" s="119">
        <v>0.0</v>
      </c>
      <c r="K52" s="109"/>
      <c r="L52" s="109"/>
      <c r="M52" s="110"/>
      <c r="N52" s="110"/>
      <c r="O52" s="110"/>
      <c r="P52" s="110"/>
      <c r="Q52" s="110"/>
      <c r="R52" s="109"/>
      <c r="S52" s="109"/>
      <c r="T52" s="110"/>
      <c r="U52" s="110"/>
      <c r="V52" s="110"/>
      <c r="W52" s="110"/>
      <c r="X52" s="110"/>
      <c r="Y52" s="109"/>
      <c r="Z52" s="109"/>
      <c r="AA52" s="110"/>
      <c r="AB52" s="110"/>
      <c r="AC52" s="110"/>
      <c r="AD52" s="110"/>
      <c r="AE52" s="110"/>
      <c r="AF52" s="109"/>
      <c r="AG52" s="109"/>
      <c r="AH52" s="110"/>
      <c r="AI52" s="110"/>
      <c r="AJ52" s="110"/>
      <c r="AK52" s="110"/>
      <c r="AL52" s="110"/>
      <c r="AM52" s="109"/>
      <c r="AN52" s="109"/>
      <c r="AO52" s="110"/>
      <c r="AP52" s="110"/>
      <c r="AQ52" s="110"/>
      <c r="AR52" s="110"/>
      <c r="AS52" s="110"/>
      <c r="AT52" s="109"/>
      <c r="AU52" s="109"/>
      <c r="AV52" s="110"/>
      <c r="AW52" s="110"/>
      <c r="AX52" s="110"/>
      <c r="AY52" s="110"/>
      <c r="AZ52" s="110"/>
      <c r="BA52" s="109"/>
      <c r="BB52" s="109"/>
      <c r="BC52" s="110"/>
      <c r="BD52" s="123"/>
      <c r="BE52" s="123"/>
      <c r="BF52" s="123"/>
      <c r="BG52" s="123"/>
      <c r="BH52" s="109"/>
      <c r="BI52" s="109"/>
      <c r="BJ52" s="110"/>
      <c r="BK52" s="110"/>
      <c r="BL52" s="110"/>
      <c r="BM52" s="110"/>
      <c r="BN52" s="110"/>
      <c r="BO52" s="109"/>
      <c r="BP52" s="109"/>
      <c r="BQ52" s="110"/>
      <c r="BR52" s="110"/>
      <c r="BS52" s="110"/>
      <c r="BT52" s="110"/>
      <c r="BU52" s="110"/>
      <c r="BV52" s="109"/>
      <c r="BW52" s="109"/>
      <c r="BX52" s="110"/>
      <c r="BY52" s="110"/>
      <c r="BZ52" s="110"/>
      <c r="CA52" s="110"/>
      <c r="CB52" s="110"/>
    </row>
    <row r="53" ht="30.0" customHeight="1">
      <c r="A53" s="44"/>
      <c r="B53" s="113" t="s">
        <v>311</v>
      </c>
      <c r="C53" s="114" t="s">
        <v>312</v>
      </c>
      <c r="D53" s="121" t="s">
        <v>277</v>
      </c>
      <c r="E53" s="114" t="s">
        <v>313</v>
      </c>
      <c r="F53" s="116"/>
      <c r="G53" s="117">
        <v>46310.0</v>
      </c>
      <c r="H53" s="117">
        <v>46314.0</v>
      </c>
      <c r="I53" s="118">
        <v>0.005</v>
      </c>
      <c r="J53" s="119">
        <v>0.0</v>
      </c>
      <c r="K53" s="109"/>
      <c r="L53" s="109"/>
      <c r="M53" s="110"/>
      <c r="N53" s="110"/>
      <c r="O53" s="110"/>
      <c r="P53" s="110"/>
      <c r="Q53" s="110"/>
      <c r="R53" s="109"/>
      <c r="S53" s="109"/>
      <c r="T53" s="110"/>
      <c r="U53" s="110"/>
      <c r="V53" s="110"/>
      <c r="W53" s="110"/>
      <c r="X53" s="110"/>
      <c r="Y53" s="109"/>
      <c r="Z53" s="109"/>
      <c r="AA53" s="110"/>
      <c r="AB53" s="110"/>
      <c r="AC53" s="110"/>
      <c r="AD53" s="110"/>
      <c r="AE53" s="110"/>
      <c r="AF53" s="109"/>
      <c r="AG53" s="109"/>
      <c r="AH53" s="110"/>
      <c r="AI53" s="110"/>
      <c r="AJ53" s="110"/>
      <c r="AK53" s="110"/>
      <c r="AL53" s="110"/>
      <c r="AM53" s="109"/>
      <c r="AN53" s="109"/>
      <c r="AO53" s="110"/>
      <c r="AP53" s="110"/>
      <c r="AQ53" s="110"/>
      <c r="AR53" s="110"/>
      <c r="AS53" s="110"/>
      <c r="AT53" s="109"/>
      <c r="AU53" s="109"/>
      <c r="AV53" s="110"/>
      <c r="AW53" s="110"/>
      <c r="AX53" s="110"/>
      <c r="AY53" s="110"/>
      <c r="AZ53" s="110"/>
      <c r="BA53" s="109"/>
      <c r="BB53" s="109"/>
      <c r="BC53" s="110"/>
      <c r="BD53" s="110"/>
      <c r="BE53" s="110"/>
      <c r="BF53" s="123"/>
      <c r="BG53" s="123"/>
      <c r="BH53" s="123"/>
      <c r="BI53" s="123"/>
      <c r="BJ53" s="123"/>
      <c r="BK53" s="110"/>
      <c r="BL53" s="110"/>
      <c r="BM53" s="110"/>
      <c r="BN53" s="110"/>
      <c r="BO53" s="109"/>
      <c r="BP53" s="109"/>
      <c r="BQ53" s="110"/>
      <c r="BR53" s="110"/>
      <c r="BS53" s="110"/>
      <c r="BT53" s="110"/>
      <c r="BU53" s="110"/>
      <c r="BV53" s="109"/>
      <c r="BW53" s="109"/>
      <c r="BX53" s="110"/>
      <c r="BY53" s="110"/>
      <c r="BZ53" s="110"/>
      <c r="CA53" s="110"/>
      <c r="CB53" s="110"/>
    </row>
    <row r="54" ht="30.0" customHeight="1">
      <c r="A54" s="44"/>
      <c r="B54" s="113" t="s">
        <v>314</v>
      </c>
      <c r="C54" s="114" t="s">
        <v>315</v>
      </c>
      <c r="D54" s="121" t="s">
        <v>277</v>
      </c>
      <c r="E54" s="114" t="s">
        <v>316</v>
      </c>
      <c r="F54" s="116"/>
      <c r="G54" s="117">
        <v>46314.0</v>
      </c>
      <c r="H54" s="117">
        <v>46315.0</v>
      </c>
      <c r="I54" s="118">
        <v>0.003</v>
      </c>
      <c r="J54" s="119">
        <v>0.0</v>
      </c>
      <c r="K54" s="109"/>
      <c r="L54" s="109"/>
      <c r="M54" s="110"/>
      <c r="N54" s="110"/>
      <c r="O54" s="110"/>
      <c r="P54" s="110"/>
      <c r="Q54" s="110"/>
      <c r="R54" s="109"/>
      <c r="S54" s="109"/>
      <c r="T54" s="110"/>
      <c r="U54" s="110"/>
      <c r="V54" s="110"/>
      <c r="W54" s="110"/>
      <c r="X54" s="110"/>
      <c r="Y54" s="109"/>
      <c r="Z54" s="109"/>
      <c r="AA54" s="110"/>
      <c r="AB54" s="110"/>
      <c r="AC54" s="110"/>
      <c r="AD54" s="110"/>
      <c r="AE54" s="110"/>
      <c r="AF54" s="109"/>
      <c r="AG54" s="109"/>
      <c r="AH54" s="110"/>
      <c r="AI54" s="110"/>
      <c r="AJ54" s="110"/>
      <c r="AK54" s="110"/>
      <c r="AL54" s="110"/>
      <c r="AM54" s="109"/>
      <c r="AN54" s="109"/>
      <c r="AO54" s="110"/>
      <c r="AP54" s="110"/>
      <c r="AQ54" s="110"/>
      <c r="AR54" s="110"/>
      <c r="AS54" s="110"/>
      <c r="AT54" s="109"/>
      <c r="AU54" s="109"/>
      <c r="AV54" s="110"/>
      <c r="AW54" s="110"/>
      <c r="AX54" s="110"/>
      <c r="AY54" s="110"/>
      <c r="AZ54" s="110"/>
      <c r="BA54" s="109"/>
      <c r="BB54" s="109"/>
      <c r="BC54" s="110"/>
      <c r="BD54" s="110"/>
      <c r="BE54" s="110"/>
      <c r="BF54" s="110"/>
      <c r="BG54" s="110"/>
      <c r="BH54" s="109"/>
      <c r="BI54" s="109"/>
      <c r="BJ54" s="123"/>
      <c r="BK54" s="123"/>
      <c r="BL54" s="110"/>
      <c r="BM54" s="110"/>
      <c r="BN54" s="110"/>
      <c r="BO54" s="109"/>
      <c r="BP54" s="109"/>
      <c r="BQ54" s="110"/>
      <c r="BR54" s="110"/>
      <c r="BS54" s="110"/>
      <c r="BT54" s="110"/>
      <c r="BU54" s="110"/>
      <c r="BV54" s="109"/>
      <c r="BW54" s="109"/>
      <c r="BX54" s="110"/>
      <c r="BY54" s="110"/>
      <c r="BZ54" s="110"/>
      <c r="CA54" s="110"/>
      <c r="CB54" s="110"/>
    </row>
    <row r="55" ht="30.0" customHeight="1">
      <c r="A55" s="44"/>
      <c r="B55" s="113" t="s">
        <v>317</v>
      </c>
      <c r="C55" s="114" t="s">
        <v>318</v>
      </c>
      <c r="D55" s="121" t="s">
        <v>277</v>
      </c>
      <c r="E55" s="114" t="s">
        <v>319</v>
      </c>
      <c r="F55" s="116"/>
      <c r="G55" s="117">
        <v>46314.0</v>
      </c>
      <c r="H55" s="117">
        <v>46316.0</v>
      </c>
      <c r="I55" s="118">
        <v>0.0035</v>
      </c>
      <c r="J55" s="119">
        <v>0.0</v>
      </c>
      <c r="K55" s="109"/>
      <c r="L55" s="109"/>
      <c r="M55" s="110"/>
      <c r="N55" s="110"/>
      <c r="O55" s="110"/>
      <c r="P55" s="110"/>
      <c r="Q55" s="110"/>
      <c r="R55" s="109"/>
      <c r="S55" s="109"/>
      <c r="T55" s="110"/>
      <c r="U55" s="110"/>
      <c r="V55" s="110"/>
      <c r="W55" s="110"/>
      <c r="X55" s="110"/>
      <c r="Y55" s="109"/>
      <c r="Z55" s="109"/>
      <c r="AA55" s="110"/>
      <c r="AB55" s="110"/>
      <c r="AC55" s="110"/>
      <c r="AD55" s="110"/>
      <c r="AE55" s="110"/>
      <c r="AF55" s="109"/>
      <c r="AG55" s="109"/>
      <c r="AH55" s="110"/>
      <c r="AI55" s="110"/>
      <c r="AJ55" s="110"/>
      <c r="AK55" s="110"/>
      <c r="AL55" s="110"/>
      <c r="AM55" s="109"/>
      <c r="AN55" s="109"/>
      <c r="AO55" s="110"/>
      <c r="AP55" s="110"/>
      <c r="AQ55" s="110"/>
      <c r="AR55" s="110"/>
      <c r="AS55" s="110"/>
      <c r="AT55" s="109"/>
      <c r="AU55" s="109"/>
      <c r="AV55" s="110"/>
      <c r="AW55" s="110"/>
      <c r="AX55" s="110"/>
      <c r="AY55" s="110"/>
      <c r="AZ55" s="110"/>
      <c r="BA55" s="109"/>
      <c r="BB55" s="109"/>
      <c r="BC55" s="110"/>
      <c r="BD55" s="110"/>
      <c r="BE55" s="110"/>
      <c r="BF55" s="110"/>
      <c r="BG55" s="110"/>
      <c r="BH55" s="109"/>
      <c r="BI55" s="109"/>
      <c r="BJ55" s="123"/>
      <c r="BK55" s="123"/>
      <c r="BL55" s="123"/>
      <c r="BM55" s="110"/>
      <c r="BN55" s="110"/>
      <c r="BO55" s="109"/>
      <c r="BP55" s="109"/>
      <c r="BQ55" s="110"/>
      <c r="BR55" s="110"/>
      <c r="BS55" s="110"/>
      <c r="BT55" s="110"/>
      <c r="BU55" s="110"/>
      <c r="BV55" s="109"/>
      <c r="BW55" s="109"/>
      <c r="BX55" s="110"/>
      <c r="BY55" s="110"/>
      <c r="BZ55" s="110"/>
      <c r="CA55" s="110"/>
      <c r="CB55" s="110"/>
    </row>
    <row r="56" ht="30.0" customHeight="1">
      <c r="A56" s="44"/>
      <c r="B56" s="113" t="s">
        <v>320</v>
      </c>
      <c r="C56" s="114" t="s">
        <v>321</v>
      </c>
      <c r="D56" s="121" t="s">
        <v>277</v>
      </c>
      <c r="E56" s="114" t="s">
        <v>322</v>
      </c>
      <c r="F56" s="116"/>
      <c r="G56" s="117">
        <v>46315.0</v>
      </c>
      <c r="H56" s="117">
        <v>46317.0</v>
      </c>
      <c r="I56" s="118">
        <v>0.002</v>
      </c>
      <c r="J56" s="119">
        <v>0.0</v>
      </c>
      <c r="K56" s="109"/>
      <c r="L56" s="109"/>
      <c r="M56" s="110"/>
      <c r="N56" s="110"/>
      <c r="O56" s="110"/>
      <c r="P56" s="110"/>
      <c r="Q56" s="110"/>
      <c r="R56" s="109"/>
      <c r="S56" s="109"/>
      <c r="T56" s="110"/>
      <c r="U56" s="110"/>
      <c r="V56" s="110"/>
      <c r="W56" s="110"/>
      <c r="X56" s="110"/>
      <c r="Y56" s="109"/>
      <c r="Z56" s="109"/>
      <c r="AA56" s="110"/>
      <c r="AB56" s="110"/>
      <c r="AC56" s="110"/>
      <c r="AD56" s="110"/>
      <c r="AE56" s="110"/>
      <c r="AF56" s="109"/>
      <c r="AG56" s="109"/>
      <c r="AH56" s="110"/>
      <c r="AI56" s="110"/>
      <c r="AJ56" s="110"/>
      <c r="AK56" s="110"/>
      <c r="AL56" s="110"/>
      <c r="AM56" s="109"/>
      <c r="AN56" s="109"/>
      <c r="AO56" s="110"/>
      <c r="AP56" s="110"/>
      <c r="AQ56" s="110"/>
      <c r="AR56" s="110"/>
      <c r="AS56" s="110"/>
      <c r="AT56" s="109"/>
      <c r="AU56" s="109"/>
      <c r="AV56" s="110"/>
      <c r="AW56" s="110"/>
      <c r="AX56" s="110"/>
      <c r="AY56" s="110"/>
      <c r="AZ56" s="110"/>
      <c r="BA56" s="109"/>
      <c r="BB56" s="109"/>
      <c r="BC56" s="110"/>
      <c r="BD56" s="110"/>
      <c r="BE56" s="110"/>
      <c r="BF56" s="110"/>
      <c r="BG56" s="110"/>
      <c r="BH56" s="109"/>
      <c r="BI56" s="109"/>
      <c r="BJ56" s="110"/>
      <c r="BK56" s="123"/>
      <c r="BL56" s="123"/>
      <c r="BM56" s="123"/>
      <c r="BN56" s="110"/>
      <c r="BO56" s="109"/>
      <c r="BP56" s="109"/>
      <c r="BQ56" s="110"/>
      <c r="BR56" s="110"/>
      <c r="BS56" s="110"/>
      <c r="BT56" s="110"/>
      <c r="BU56" s="110"/>
      <c r="BV56" s="109"/>
      <c r="BW56" s="109"/>
      <c r="BX56" s="110"/>
      <c r="BY56" s="110"/>
      <c r="BZ56" s="110"/>
      <c r="CA56" s="110"/>
      <c r="CB56" s="110"/>
    </row>
    <row r="57" ht="30.0" customHeight="1">
      <c r="A57" s="44"/>
      <c r="B57" s="113" t="s">
        <v>323</v>
      </c>
      <c r="C57" s="114" t="s">
        <v>324</v>
      </c>
      <c r="D57" s="121" t="s">
        <v>277</v>
      </c>
      <c r="E57" s="114" t="s">
        <v>325</v>
      </c>
      <c r="F57" s="116"/>
      <c r="G57" s="117">
        <v>46317.0</v>
      </c>
      <c r="H57" s="117">
        <v>46318.0</v>
      </c>
      <c r="I57" s="118">
        <v>0.0015</v>
      </c>
      <c r="J57" s="119">
        <v>0.0</v>
      </c>
      <c r="K57" s="109"/>
      <c r="L57" s="109"/>
      <c r="M57" s="110"/>
      <c r="N57" s="110"/>
      <c r="O57" s="110"/>
      <c r="P57" s="110"/>
      <c r="Q57" s="110"/>
      <c r="R57" s="109"/>
      <c r="S57" s="109"/>
      <c r="T57" s="110"/>
      <c r="U57" s="110"/>
      <c r="V57" s="110"/>
      <c r="W57" s="110"/>
      <c r="X57" s="110"/>
      <c r="Y57" s="109"/>
      <c r="Z57" s="109"/>
      <c r="AA57" s="110"/>
      <c r="AB57" s="110"/>
      <c r="AC57" s="110"/>
      <c r="AD57" s="110"/>
      <c r="AE57" s="110"/>
      <c r="AF57" s="109"/>
      <c r="AG57" s="109"/>
      <c r="AH57" s="110"/>
      <c r="AI57" s="110"/>
      <c r="AJ57" s="110"/>
      <c r="AK57" s="110"/>
      <c r="AL57" s="110"/>
      <c r="AM57" s="109"/>
      <c r="AN57" s="109"/>
      <c r="AO57" s="110"/>
      <c r="AP57" s="110"/>
      <c r="AQ57" s="110"/>
      <c r="AR57" s="110"/>
      <c r="AS57" s="110"/>
      <c r="AT57" s="109"/>
      <c r="AU57" s="109"/>
      <c r="AV57" s="110"/>
      <c r="AW57" s="110"/>
      <c r="AX57" s="110"/>
      <c r="AY57" s="110"/>
      <c r="AZ57" s="110"/>
      <c r="BA57" s="109"/>
      <c r="BB57" s="109"/>
      <c r="BC57" s="110"/>
      <c r="BD57" s="110"/>
      <c r="BE57" s="110"/>
      <c r="BF57" s="110"/>
      <c r="BG57" s="110"/>
      <c r="BH57" s="109"/>
      <c r="BI57" s="109"/>
      <c r="BJ57" s="110"/>
      <c r="BK57" s="110"/>
      <c r="BL57" s="110"/>
      <c r="BM57" s="123"/>
      <c r="BN57" s="123"/>
      <c r="BO57" s="109"/>
      <c r="BP57" s="109"/>
      <c r="BQ57" s="110"/>
      <c r="BR57" s="110"/>
      <c r="BS57" s="110"/>
      <c r="BT57" s="110"/>
      <c r="BU57" s="110"/>
      <c r="BV57" s="109"/>
      <c r="BW57" s="109"/>
      <c r="BX57" s="110"/>
      <c r="BY57" s="110"/>
      <c r="BZ57" s="110"/>
      <c r="CA57" s="110"/>
      <c r="CB57" s="110"/>
    </row>
    <row r="58" ht="30.0" customHeight="1">
      <c r="A58" s="105"/>
      <c r="B58" s="103" t="s">
        <v>326</v>
      </c>
      <c r="C58" s="104" t="s">
        <v>327</v>
      </c>
      <c r="D58" s="104"/>
      <c r="E58" s="104" t="s">
        <v>31</v>
      </c>
      <c r="F58" s="104"/>
      <c r="G58" s="106">
        <f>MIN(G59:G69)</f>
        <v>46302</v>
      </c>
      <c r="H58" s="106">
        <f>MAX(H59:H69)</f>
        <v>46318</v>
      </c>
      <c r="I58" s="107">
        <f>SUM(I59:I69)</f>
        <v>0.11</v>
      </c>
      <c r="J58" s="108">
        <f>IFERROR((I59*J59+I60*J60+I61*J61+I62*J62+I63*J63+I64*J64+I65*J65+I66*J66+I67*J67+I68*J68+I69*J69)/SUM(I59:I69),0)</f>
        <v>0</v>
      </c>
      <c r="K58" s="109"/>
      <c r="L58" s="109"/>
      <c r="M58" s="110"/>
      <c r="N58" s="110"/>
      <c r="O58" s="110"/>
      <c r="P58" s="110"/>
      <c r="Q58" s="110"/>
      <c r="R58" s="109"/>
      <c r="S58" s="109"/>
      <c r="T58" s="110"/>
      <c r="U58" s="110"/>
      <c r="V58" s="110"/>
      <c r="W58" s="110"/>
      <c r="X58" s="110"/>
      <c r="Y58" s="109"/>
      <c r="Z58" s="109"/>
      <c r="AA58" s="110"/>
      <c r="AB58" s="110"/>
      <c r="AC58" s="110"/>
      <c r="AD58" s="110"/>
      <c r="AE58" s="110"/>
      <c r="AF58" s="109"/>
      <c r="AG58" s="109"/>
      <c r="AH58" s="110"/>
      <c r="AI58" s="110"/>
      <c r="AJ58" s="110"/>
      <c r="AK58" s="110"/>
      <c r="AL58" s="110"/>
      <c r="AM58" s="109"/>
      <c r="AN58" s="109"/>
      <c r="AO58" s="110"/>
      <c r="AP58" s="110"/>
      <c r="AQ58" s="110"/>
      <c r="AR58" s="110"/>
      <c r="AS58" s="110"/>
      <c r="AT58" s="109"/>
      <c r="AU58" s="109"/>
      <c r="AV58" s="110"/>
      <c r="AW58" s="110"/>
      <c r="AX58" s="112"/>
      <c r="AY58" s="112"/>
      <c r="AZ58" s="112"/>
      <c r="BA58" s="112"/>
      <c r="BB58" s="112"/>
      <c r="BC58" s="112"/>
      <c r="BD58" s="112"/>
      <c r="BE58" s="112"/>
      <c r="BF58" s="112"/>
      <c r="BG58" s="112"/>
      <c r="BH58" s="112"/>
      <c r="BI58" s="112"/>
      <c r="BJ58" s="112"/>
      <c r="BK58" s="112"/>
      <c r="BL58" s="112"/>
      <c r="BM58" s="110"/>
      <c r="BN58" s="110"/>
      <c r="BO58" s="109"/>
      <c r="BP58" s="109"/>
      <c r="BQ58" s="110"/>
      <c r="BR58" s="110"/>
      <c r="BS58" s="110"/>
      <c r="BT58" s="110"/>
      <c r="BU58" s="110"/>
      <c r="BV58" s="109"/>
      <c r="BW58" s="109"/>
      <c r="BX58" s="110"/>
      <c r="BY58" s="110"/>
      <c r="BZ58" s="110"/>
      <c r="CA58" s="110"/>
      <c r="CB58" s="110"/>
    </row>
    <row r="59" ht="30.0" customHeight="1">
      <c r="A59" s="44"/>
      <c r="B59" s="113" t="s">
        <v>328</v>
      </c>
      <c r="C59" s="114" t="s">
        <v>329</v>
      </c>
      <c r="D59" s="121" t="s">
        <v>277</v>
      </c>
      <c r="E59" s="114" t="s">
        <v>330</v>
      </c>
      <c r="F59" s="116"/>
      <c r="G59" s="117">
        <v>46302.0</v>
      </c>
      <c r="H59" s="117">
        <v>46305.0</v>
      </c>
      <c r="I59" s="118">
        <v>0.005</v>
      </c>
      <c r="J59" s="119">
        <v>0.0</v>
      </c>
      <c r="K59" s="109"/>
      <c r="L59" s="109"/>
      <c r="M59" s="110"/>
      <c r="N59" s="110"/>
      <c r="O59" s="110"/>
      <c r="P59" s="110"/>
      <c r="Q59" s="110"/>
      <c r="R59" s="109"/>
      <c r="S59" s="109"/>
      <c r="T59" s="110"/>
      <c r="U59" s="110"/>
      <c r="V59" s="110"/>
      <c r="W59" s="110"/>
      <c r="X59" s="110"/>
      <c r="Y59" s="109"/>
      <c r="Z59" s="109"/>
      <c r="AA59" s="110"/>
      <c r="AB59" s="110"/>
      <c r="AC59" s="110"/>
      <c r="AD59" s="110"/>
      <c r="AE59" s="110"/>
      <c r="AF59" s="109"/>
      <c r="AG59" s="109"/>
      <c r="AH59" s="110"/>
      <c r="AI59" s="110"/>
      <c r="AJ59" s="110"/>
      <c r="AK59" s="110"/>
      <c r="AL59" s="110"/>
      <c r="AM59" s="109"/>
      <c r="AN59" s="109"/>
      <c r="AO59" s="110"/>
      <c r="AP59" s="110"/>
      <c r="AQ59" s="110"/>
      <c r="AR59" s="110"/>
      <c r="AS59" s="110"/>
      <c r="AT59" s="109"/>
      <c r="AU59" s="109"/>
      <c r="AV59" s="110"/>
      <c r="AW59" s="110"/>
      <c r="AX59" s="124"/>
      <c r="AY59" s="124"/>
      <c r="AZ59" s="124"/>
      <c r="BA59" s="124"/>
      <c r="BB59" s="124"/>
      <c r="BC59" s="124"/>
      <c r="BD59" s="110"/>
      <c r="BE59" s="110"/>
      <c r="BF59" s="110"/>
      <c r="BG59" s="110"/>
      <c r="BH59" s="109"/>
      <c r="BI59" s="109"/>
      <c r="BJ59" s="110"/>
      <c r="BK59" s="110"/>
      <c r="BL59" s="110"/>
      <c r="BM59" s="110"/>
      <c r="BN59" s="110"/>
      <c r="BO59" s="109"/>
      <c r="BP59" s="109"/>
      <c r="BQ59" s="110"/>
      <c r="BR59" s="110"/>
      <c r="BS59" s="110"/>
      <c r="BT59" s="110"/>
      <c r="BU59" s="110"/>
      <c r="BV59" s="109"/>
      <c r="BW59" s="109"/>
      <c r="BX59" s="110"/>
      <c r="BY59" s="110"/>
      <c r="BZ59" s="110"/>
      <c r="CA59" s="110"/>
      <c r="CB59" s="110"/>
    </row>
    <row r="60" ht="30.0" customHeight="1">
      <c r="A60" s="44"/>
      <c r="B60" s="113" t="s">
        <v>331</v>
      </c>
      <c r="C60" s="114" t="s">
        <v>332</v>
      </c>
      <c r="D60" s="121" t="s">
        <v>277</v>
      </c>
      <c r="E60" s="114" t="s">
        <v>333</v>
      </c>
      <c r="F60" s="116"/>
      <c r="G60" s="117">
        <v>46302.0</v>
      </c>
      <c r="H60" s="117">
        <v>46311.0</v>
      </c>
      <c r="I60" s="118">
        <v>0.012</v>
      </c>
      <c r="J60" s="119">
        <v>0.0</v>
      </c>
      <c r="K60" s="109"/>
      <c r="L60" s="109"/>
      <c r="M60" s="110"/>
      <c r="N60" s="110"/>
      <c r="O60" s="110"/>
      <c r="P60" s="110"/>
      <c r="Q60" s="110"/>
      <c r="R60" s="109"/>
      <c r="S60" s="109"/>
      <c r="T60" s="110"/>
      <c r="U60" s="110"/>
      <c r="V60" s="110"/>
      <c r="W60" s="110"/>
      <c r="X60" s="110"/>
      <c r="Y60" s="109"/>
      <c r="Z60" s="109"/>
      <c r="AA60" s="110"/>
      <c r="AB60" s="110"/>
      <c r="AC60" s="110"/>
      <c r="AD60" s="110"/>
      <c r="AE60" s="110"/>
      <c r="AF60" s="109"/>
      <c r="AG60" s="109"/>
      <c r="AH60" s="110"/>
      <c r="AI60" s="110"/>
      <c r="AJ60" s="110"/>
      <c r="AK60" s="110"/>
      <c r="AL60" s="110"/>
      <c r="AM60" s="109"/>
      <c r="AN60" s="109"/>
      <c r="AO60" s="110"/>
      <c r="AP60" s="110"/>
      <c r="AQ60" s="110"/>
      <c r="AR60" s="110"/>
      <c r="AS60" s="110"/>
      <c r="AT60" s="109"/>
      <c r="AU60" s="109"/>
      <c r="AV60" s="110"/>
      <c r="AW60" s="110"/>
      <c r="AX60" s="124"/>
      <c r="AY60" s="124"/>
      <c r="AZ60" s="124"/>
      <c r="BA60" s="124"/>
      <c r="BB60" s="124"/>
      <c r="BC60" s="124"/>
      <c r="BD60" s="124"/>
      <c r="BE60" s="124"/>
      <c r="BF60" s="110"/>
      <c r="BG60" s="110"/>
      <c r="BH60" s="109"/>
      <c r="BI60" s="109"/>
      <c r="BJ60" s="110"/>
      <c r="BK60" s="110"/>
      <c r="BL60" s="110"/>
      <c r="BM60" s="110"/>
      <c r="BN60" s="110"/>
      <c r="BO60" s="109"/>
      <c r="BP60" s="109"/>
      <c r="BQ60" s="110"/>
      <c r="BR60" s="110"/>
      <c r="BS60" s="110"/>
      <c r="BT60" s="110"/>
      <c r="BU60" s="110"/>
      <c r="BV60" s="109"/>
      <c r="BW60" s="109"/>
      <c r="BX60" s="110"/>
      <c r="BY60" s="110"/>
      <c r="BZ60" s="110"/>
      <c r="CA60" s="110"/>
      <c r="CB60" s="110"/>
    </row>
    <row r="61" ht="30.0" customHeight="1">
      <c r="A61" s="44"/>
      <c r="B61" s="113" t="s">
        <v>334</v>
      </c>
      <c r="C61" s="114" t="s">
        <v>335</v>
      </c>
      <c r="D61" s="121" t="s">
        <v>277</v>
      </c>
      <c r="E61" s="114" t="s">
        <v>336</v>
      </c>
      <c r="F61" s="116"/>
      <c r="G61" s="117">
        <v>46302.0</v>
      </c>
      <c r="H61" s="117">
        <v>46309.0</v>
      </c>
      <c r="I61" s="118">
        <v>0.008</v>
      </c>
      <c r="J61" s="119">
        <v>0.0</v>
      </c>
      <c r="K61" s="109"/>
      <c r="L61" s="109"/>
      <c r="M61" s="110"/>
      <c r="N61" s="110"/>
      <c r="O61" s="110"/>
      <c r="P61" s="110"/>
      <c r="Q61" s="110"/>
      <c r="R61" s="109"/>
      <c r="S61" s="109"/>
      <c r="T61" s="110"/>
      <c r="U61" s="110"/>
      <c r="V61" s="110"/>
      <c r="W61" s="110"/>
      <c r="X61" s="110"/>
      <c r="Y61" s="109"/>
      <c r="Z61" s="109"/>
      <c r="AA61" s="110"/>
      <c r="AB61" s="110"/>
      <c r="AC61" s="110"/>
      <c r="AD61" s="110"/>
      <c r="AE61" s="110"/>
      <c r="AF61" s="109"/>
      <c r="AG61" s="109"/>
      <c r="AH61" s="110"/>
      <c r="AI61" s="110"/>
      <c r="AJ61" s="110"/>
      <c r="AK61" s="110"/>
      <c r="AL61" s="110"/>
      <c r="AM61" s="109"/>
      <c r="AN61" s="109"/>
      <c r="AO61" s="110"/>
      <c r="AP61" s="110"/>
      <c r="AQ61" s="110"/>
      <c r="AR61" s="110"/>
      <c r="AS61" s="110"/>
      <c r="AT61" s="109"/>
      <c r="AU61" s="109"/>
      <c r="AV61" s="110"/>
      <c r="AW61" s="110"/>
      <c r="AX61" s="124"/>
      <c r="AY61" s="124"/>
      <c r="AZ61" s="124"/>
      <c r="BA61" s="124"/>
      <c r="BB61" s="124"/>
      <c r="BC61" s="124"/>
      <c r="BD61" s="124"/>
      <c r="BE61" s="110"/>
      <c r="BF61" s="110"/>
      <c r="BG61" s="110"/>
      <c r="BH61" s="109"/>
      <c r="BI61" s="109"/>
      <c r="BJ61" s="110"/>
      <c r="BK61" s="110"/>
      <c r="BL61" s="110"/>
      <c r="BM61" s="110"/>
      <c r="BN61" s="110"/>
      <c r="BO61" s="109"/>
      <c r="BP61" s="109"/>
      <c r="BQ61" s="110"/>
      <c r="BR61" s="110"/>
      <c r="BS61" s="110"/>
      <c r="BT61" s="110"/>
      <c r="BU61" s="110"/>
      <c r="BV61" s="109"/>
      <c r="BW61" s="109"/>
      <c r="BX61" s="110"/>
      <c r="BY61" s="110"/>
      <c r="BZ61" s="110"/>
      <c r="CA61" s="110"/>
      <c r="CB61" s="110"/>
    </row>
    <row r="62" ht="30.0" customHeight="1">
      <c r="A62" s="44"/>
      <c r="B62" s="113" t="s">
        <v>337</v>
      </c>
      <c r="C62" s="114" t="s">
        <v>338</v>
      </c>
      <c r="D62" s="121" t="s">
        <v>277</v>
      </c>
      <c r="E62" s="114" t="s">
        <v>339</v>
      </c>
      <c r="F62" s="116"/>
      <c r="G62" s="117">
        <v>46308.0</v>
      </c>
      <c r="H62" s="117">
        <v>46311.0</v>
      </c>
      <c r="I62" s="118">
        <v>0.005</v>
      </c>
      <c r="J62" s="119">
        <v>0.0</v>
      </c>
      <c r="K62" s="109"/>
      <c r="L62" s="109"/>
      <c r="M62" s="110"/>
      <c r="N62" s="110"/>
      <c r="O62" s="110"/>
      <c r="P62" s="110"/>
      <c r="Q62" s="110"/>
      <c r="R62" s="109"/>
      <c r="S62" s="109"/>
      <c r="T62" s="110"/>
      <c r="U62" s="110"/>
      <c r="V62" s="110"/>
      <c r="W62" s="110"/>
      <c r="X62" s="110"/>
      <c r="Y62" s="109"/>
      <c r="Z62" s="109"/>
      <c r="AA62" s="110"/>
      <c r="AB62" s="110"/>
      <c r="AC62" s="110"/>
      <c r="AD62" s="110"/>
      <c r="AE62" s="110"/>
      <c r="AF62" s="109"/>
      <c r="AG62" s="109"/>
      <c r="AH62" s="110"/>
      <c r="AI62" s="110"/>
      <c r="AJ62" s="110"/>
      <c r="AK62" s="110"/>
      <c r="AL62" s="110"/>
      <c r="AM62" s="109"/>
      <c r="AN62" s="109"/>
      <c r="AO62" s="110"/>
      <c r="AP62" s="110"/>
      <c r="AQ62" s="110"/>
      <c r="AR62" s="110"/>
      <c r="AS62" s="110"/>
      <c r="AT62" s="109"/>
      <c r="AU62" s="109"/>
      <c r="AV62" s="110"/>
      <c r="AW62" s="110"/>
      <c r="AX62" s="110"/>
      <c r="AY62" s="110"/>
      <c r="AZ62" s="110"/>
      <c r="BA62" s="109"/>
      <c r="BB62" s="109"/>
      <c r="BC62" s="110"/>
      <c r="BD62" s="124"/>
      <c r="BE62" s="124"/>
      <c r="BF62" s="124"/>
      <c r="BG62" s="110"/>
      <c r="BH62" s="109"/>
      <c r="BI62" s="109"/>
      <c r="BJ62" s="110"/>
      <c r="BK62" s="110"/>
      <c r="BL62" s="110"/>
      <c r="BM62" s="110"/>
      <c r="BN62" s="110"/>
      <c r="BO62" s="109"/>
      <c r="BP62" s="109"/>
      <c r="BQ62" s="110"/>
      <c r="BR62" s="110"/>
      <c r="BS62" s="110"/>
      <c r="BT62" s="110"/>
      <c r="BU62" s="110"/>
      <c r="BV62" s="109"/>
      <c r="BW62" s="109"/>
      <c r="BX62" s="110"/>
      <c r="BY62" s="110"/>
      <c r="BZ62" s="110"/>
      <c r="CA62" s="110"/>
      <c r="CB62" s="110"/>
    </row>
    <row r="63" ht="30.0" customHeight="1">
      <c r="A63" s="44"/>
      <c r="B63" s="113" t="s">
        <v>340</v>
      </c>
      <c r="C63" s="114" t="s">
        <v>341</v>
      </c>
      <c r="D63" s="121" t="s">
        <v>277</v>
      </c>
      <c r="E63" s="114" t="s">
        <v>342</v>
      </c>
      <c r="F63" s="116"/>
      <c r="G63" s="117">
        <v>46302.0</v>
      </c>
      <c r="H63" s="117">
        <v>46316.0</v>
      </c>
      <c r="I63" s="118">
        <v>0.025</v>
      </c>
      <c r="J63" s="119">
        <v>0.0</v>
      </c>
      <c r="K63" s="109"/>
      <c r="L63" s="109"/>
      <c r="M63" s="110"/>
      <c r="N63" s="110"/>
      <c r="O63" s="110"/>
      <c r="P63" s="110"/>
      <c r="Q63" s="110"/>
      <c r="R63" s="109"/>
      <c r="S63" s="109"/>
      <c r="T63" s="110"/>
      <c r="U63" s="110"/>
      <c r="V63" s="110"/>
      <c r="W63" s="110"/>
      <c r="X63" s="110"/>
      <c r="Y63" s="109"/>
      <c r="Z63" s="109"/>
      <c r="AA63" s="110"/>
      <c r="AB63" s="110"/>
      <c r="AC63" s="110"/>
      <c r="AD63" s="110"/>
      <c r="AE63" s="110"/>
      <c r="AF63" s="109"/>
      <c r="AG63" s="109"/>
      <c r="AH63" s="110"/>
      <c r="AI63" s="110"/>
      <c r="AJ63" s="110"/>
      <c r="AK63" s="110"/>
      <c r="AL63" s="110"/>
      <c r="AM63" s="109"/>
      <c r="AN63" s="109"/>
      <c r="AO63" s="110"/>
      <c r="AP63" s="110"/>
      <c r="AQ63" s="110"/>
      <c r="AR63" s="110"/>
      <c r="AS63" s="110"/>
      <c r="AT63" s="109"/>
      <c r="AU63" s="109"/>
      <c r="AV63" s="110"/>
      <c r="AW63" s="110"/>
      <c r="AX63" s="124"/>
      <c r="AY63" s="124"/>
      <c r="AZ63" s="124"/>
      <c r="BA63" s="124"/>
      <c r="BB63" s="124"/>
      <c r="BC63" s="124"/>
      <c r="BD63" s="124"/>
      <c r="BE63" s="124"/>
      <c r="BF63" s="124"/>
      <c r="BG63" s="124"/>
      <c r="BH63" s="124"/>
      <c r="BI63" s="124"/>
      <c r="BJ63" s="124"/>
      <c r="BK63" s="124"/>
      <c r="BL63" s="110"/>
      <c r="BM63" s="110"/>
      <c r="BN63" s="110"/>
      <c r="BO63" s="109"/>
      <c r="BP63" s="109"/>
      <c r="BQ63" s="110"/>
      <c r="BR63" s="110"/>
      <c r="BS63" s="110"/>
      <c r="BT63" s="110"/>
      <c r="BU63" s="110"/>
      <c r="BV63" s="109"/>
      <c r="BW63" s="109"/>
      <c r="BX63" s="110"/>
      <c r="BY63" s="110"/>
      <c r="BZ63" s="110"/>
      <c r="CA63" s="110"/>
      <c r="CB63" s="110"/>
    </row>
    <row r="64" ht="30.0" customHeight="1">
      <c r="A64" s="44"/>
      <c r="B64" s="113" t="s">
        <v>343</v>
      </c>
      <c r="C64" s="114" t="s">
        <v>344</v>
      </c>
      <c r="D64" s="121" t="s">
        <v>277</v>
      </c>
      <c r="E64" s="114" t="s">
        <v>345</v>
      </c>
      <c r="F64" s="116"/>
      <c r="G64" s="117">
        <v>46311.0</v>
      </c>
      <c r="H64" s="117">
        <v>46318.0</v>
      </c>
      <c r="I64" s="118">
        <v>0.013</v>
      </c>
      <c r="J64" s="119">
        <v>0.0</v>
      </c>
      <c r="K64" s="109"/>
      <c r="L64" s="109"/>
      <c r="M64" s="110"/>
      <c r="N64" s="110"/>
      <c r="O64" s="110"/>
      <c r="P64" s="110"/>
      <c r="Q64" s="110"/>
      <c r="R64" s="109"/>
      <c r="S64" s="109"/>
      <c r="T64" s="110"/>
      <c r="U64" s="110"/>
      <c r="V64" s="110"/>
      <c r="W64" s="110"/>
      <c r="X64" s="110"/>
      <c r="Y64" s="109"/>
      <c r="Z64" s="109"/>
      <c r="AA64" s="110"/>
      <c r="AB64" s="110"/>
      <c r="AC64" s="110"/>
      <c r="AD64" s="110"/>
      <c r="AE64" s="110"/>
      <c r="AF64" s="109"/>
      <c r="AG64" s="109"/>
      <c r="AH64" s="110"/>
      <c r="AI64" s="110"/>
      <c r="AJ64" s="110"/>
      <c r="AK64" s="110"/>
      <c r="AL64" s="110"/>
      <c r="AM64" s="109"/>
      <c r="AN64" s="109"/>
      <c r="AO64" s="110"/>
      <c r="AP64" s="110"/>
      <c r="AQ64" s="110"/>
      <c r="AR64" s="110"/>
      <c r="AS64" s="110"/>
      <c r="AT64" s="109"/>
      <c r="AU64" s="109"/>
      <c r="AV64" s="110"/>
      <c r="AW64" s="110"/>
      <c r="AX64" s="110"/>
      <c r="AY64" s="110"/>
      <c r="AZ64" s="110"/>
      <c r="BA64" s="109"/>
      <c r="BB64" s="109"/>
      <c r="BC64" s="110"/>
      <c r="BD64" s="110"/>
      <c r="BE64" s="124"/>
      <c r="BF64" s="124"/>
      <c r="BG64" s="124"/>
      <c r="BH64" s="124"/>
      <c r="BI64" s="124"/>
      <c r="BJ64" s="124"/>
      <c r="BK64" s="124"/>
      <c r="BL64" s="124"/>
      <c r="BM64" s="110"/>
      <c r="BN64" s="110"/>
      <c r="BO64" s="109"/>
      <c r="BP64" s="109"/>
      <c r="BQ64" s="110"/>
      <c r="BR64" s="110"/>
      <c r="BS64" s="110"/>
      <c r="BT64" s="110"/>
      <c r="BU64" s="110"/>
      <c r="BV64" s="109"/>
      <c r="BW64" s="109"/>
      <c r="BX64" s="110"/>
      <c r="BY64" s="110"/>
      <c r="BZ64" s="110"/>
      <c r="CA64" s="110"/>
      <c r="CB64" s="110"/>
    </row>
    <row r="65" ht="30.0" customHeight="1">
      <c r="A65" s="44"/>
      <c r="B65" s="113" t="s">
        <v>346</v>
      </c>
      <c r="C65" s="114" t="s">
        <v>347</v>
      </c>
      <c r="D65" s="121" t="s">
        <v>277</v>
      </c>
      <c r="E65" s="114" t="s">
        <v>348</v>
      </c>
      <c r="F65" s="116"/>
      <c r="G65" s="117">
        <v>46314.0</v>
      </c>
      <c r="H65" s="117">
        <v>46316.0</v>
      </c>
      <c r="I65" s="118">
        <v>0.004</v>
      </c>
      <c r="J65" s="119">
        <v>0.0</v>
      </c>
      <c r="K65" s="109"/>
      <c r="L65" s="109"/>
      <c r="M65" s="110"/>
      <c r="N65" s="110"/>
      <c r="O65" s="110"/>
      <c r="P65" s="110"/>
      <c r="Q65" s="110"/>
      <c r="R65" s="109"/>
      <c r="S65" s="109"/>
      <c r="T65" s="110"/>
      <c r="U65" s="110"/>
      <c r="V65" s="110"/>
      <c r="W65" s="110"/>
      <c r="X65" s="110"/>
      <c r="Y65" s="109"/>
      <c r="Z65" s="109"/>
      <c r="AA65" s="110"/>
      <c r="AB65" s="110"/>
      <c r="AC65" s="110"/>
      <c r="AD65" s="110"/>
      <c r="AE65" s="110"/>
      <c r="AF65" s="109"/>
      <c r="AG65" s="109"/>
      <c r="AH65" s="110"/>
      <c r="AI65" s="110"/>
      <c r="AJ65" s="110"/>
      <c r="AK65" s="110"/>
      <c r="AL65" s="110"/>
      <c r="AM65" s="109"/>
      <c r="AN65" s="109"/>
      <c r="AO65" s="110"/>
      <c r="AP65" s="110"/>
      <c r="AQ65" s="110"/>
      <c r="AR65" s="110"/>
      <c r="AS65" s="110"/>
      <c r="AT65" s="109"/>
      <c r="AU65" s="109"/>
      <c r="AV65" s="110"/>
      <c r="AW65" s="110"/>
      <c r="AX65" s="110"/>
      <c r="AY65" s="110"/>
      <c r="AZ65" s="110"/>
      <c r="BA65" s="109"/>
      <c r="BB65" s="109"/>
      <c r="BC65" s="110"/>
      <c r="BD65" s="110"/>
      <c r="BE65" s="110"/>
      <c r="BF65" s="110"/>
      <c r="BG65" s="110"/>
      <c r="BH65" s="109"/>
      <c r="BI65" s="109"/>
      <c r="BJ65" s="124"/>
      <c r="BK65" s="124"/>
      <c r="BL65" s="124"/>
      <c r="BM65" s="110"/>
      <c r="BN65" s="110"/>
      <c r="BO65" s="109"/>
      <c r="BP65" s="109"/>
      <c r="BQ65" s="110"/>
      <c r="BR65" s="110"/>
      <c r="BS65" s="110"/>
      <c r="BT65" s="110"/>
      <c r="BU65" s="110"/>
      <c r="BV65" s="109"/>
      <c r="BW65" s="109"/>
      <c r="BX65" s="110"/>
      <c r="BY65" s="110"/>
      <c r="BZ65" s="110"/>
      <c r="CA65" s="110"/>
      <c r="CB65" s="110"/>
    </row>
    <row r="66" ht="30.0" customHeight="1">
      <c r="A66" s="44"/>
      <c r="B66" s="113" t="s">
        <v>349</v>
      </c>
      <c r="C66" s="114" t="s">
        <v>350</v>
      </c>
      <c r="D66" s="121" t="s">
        <v>277</v>
      </c>
      <c r="E66" s="114" t="s">
        <v>351</v>
      </c>
      <c r="F66" s="116"/>
      <c r="G66" s="117">
        <v>46307.0</v>
      </c>
      <c r="H66" s="117">
        <v>46310.0</v>
      </c>
      <c r="I66" s="118">
        <v>0.007</v>
      </c>
      <c r="J66" s="119">
        <v>0.0</v>
      </c>
      <c r="K66" s="109"/>
      <c r="L66" s="109"/>
      <c r="M66" s="110"/>
      <c r="N66" s="110"/>
      <c r="O66" s="110"/>
      <c r="P66" s="110"/>
      <c r="Q66" s="110"/>
      <c r="R66" s="109"/>
      <c r="S66" s="109"/>
      <c r="T66" s="110"/>
      <c r="U66" s="110"/>
      <c r="V66" s="110"/>
      <c r="W66" s="110"/>
      <c r="X66" s="110"/>
      <c r="Y66" s="109"/>
      <c r="Z66" s="109"/>
      <c r="AA66" s="110"/>
      <c r="AB66" s="110"/>
      <c r="AC66" s="110"/>
      <c r="AD66" s="110"/>
      <c r="AE66" s="110"/>
      <c r="AF66" s="109"/>
      <c r="AG66" s="109"/>
      <c r="AH66" s="110"/>
      <c r="AI66" s="110"/>
      <c r="AJ66" s="110"/>
      <c r="AK66" s="110"/>
      <c r="AL66" s="110"/>
      <c r="AM66" s="109"/>
      <c r="AN66" s="109"/>
      <c r="AO66" s="110"/>
      <c r="AP66" s="110"/>
      <c r="AQ66" s="110"/>
      <c r="AR66" s="110"/>
      <c r="AS66" s="110"/>
      <c r="AT66" s="109"/>
      <c r="AU66" s="109"/>
      <c r="AV66" s="110"/>
      <c r="AW66" s="110"/>
      <c r="AX66" s="110"/>
      <c r="AY66" s="110"/>
      <c r="AZ66" s="110"/>
      <c r="BA66" s="109"/>
      <c r="BB66" s="109"/>
      <c r="BC66" s="124"/>
      <c r="BD66" s="124"/>
      <c r="BE66" s="124"/>
      <c r="BF66" s="124"/>
      <c r="BG66" s="110"/>
      <c r="BH66" s="109"/>
      <c r="BI66" s="109"/>
      <c r="BJ66" s="110"/>
      <c r="BK66" s="110"/>
      <c r="BL66" s="110"/>
      <c r="BM66" s="110"/>
      <c r="BN66" s="110"/>
      <c r="BO66" s="109"/>
      <c r="BP66" s="109"/>
      <c r="BQ66" s="110"/>
      <c r="BR66" s="110"/>
      <c r="BS66" s="110"/>
      <c r="BT66" s="110"/>
      <c r="BU66" s="110"/>
      <c r="BV66" s="109"/>
      <c r="BW66" s="109"/>
      <c r="BX66" s="110"/>
      <c r="BY66" s="110"/>
      <c r="BZ66" s="110"/>
      <c r="CA66" s="110"/>
      <c r="CB66" s="110"/>
    </row>
    <row r="67" ht="30.0" customHeight="1">
      <c r="A67" s="44"/>
      <c r="B67" s="113" t="s">
        <v>352</v>
      </c>
      <c r="C67" s="114" t="s">
        <v>353</v>
      </c>
      <c r="D67" s="121" t="s">
        <v>277</v>
      </c>
      <c r="E67" s="114" t="s">
        <v>354</v>
      </c>
      <c r="F67" s="116"/>
      <c r="G67" s="117">
        <v>46304.0</v>
      </c>
      <c r="H67" s="117">
        <v>46311.0</v>
      </c>
      <c r="I67" s="118">
        <v>0.007</v>
      </c>
      <c r="J67" s="119">
        <v>0.0</v>
      </c>
      <c r="K67" s="109"/>
      <c r="L67" s="109"/>
      <c r="M67" s="110"/>
      <c r="N67" s="110"/>
      <c r="O67" s="110"/>
      <c r="P67" s="110"/>
      <c r="Q67" s="110"/>
      <c r="R67" s="109"/>
      <c r="S67" s="109"/>
      <c r="T67" s="110"/>
      <c r="U67" s="110"/>
      <c r="V67" s="110"/>
      <c r="W67" s="110"/>
      <c r="X67" s="110"/>
      <c r="Y67" s="109"/>
      <c r="Z67" s="109"/>
      <c r="AA67" s="110"/>
      <c r="AB67" s="110"/>
      <c r="AC67" s="110"/>
      <c r="AD67" s="110"/>
      <c r="AE67" s="110"/>
      <c r="AF67" s="109"/>
      <c r="AG67" s="109"/>
      <c r="AH67" s="110"/>
      <c r="AI67" s="110"/>
      <c r="AJ67" s="110"/>
      <c r="AK67" s="110"/>
      <c r="AL67" s="110"/>
      <c r="AM67" s="109"/>
      <c r="AN67" s="109"/>
      <c r="AO67" s="110"/>
      <c r="AP67" s="110"/>
      <c r="AQ67" s="110"/>
      <c r="AR67" s="110"/>
      <c r="AS67" s="110"/>
      <c r="AT67" s="109"/>
      <c r="AU67" s="109"/>
      <c r="AV67" s="110"/>
      <c r="AW67" s="110"/>
      <c r="AX67" s="110"/>
      <c r="AY67" s="110"/>
      <c r="AZ67" s="124"/>
      <c r="BA67" s="124"/>
      <c r="BB67" s="124"/>
      <c r="BC67" s="124"/>
      <c r="BD67" s="124"/>
      <c r="BE67" s="124"/>
      <c r="BF67" s="124"/>
      <c r="BG67" s="124"/>
      <c r="BH67" s="109"/>
      <c r="BI67" s="109"/>
      <c r="BJ67" s="110"/>
      <c r="BK67" s="110"/>
      <c r="BL67" s="110"/>
      <c r="BM67" s="110"/>
      <c r="BN67" s="110"/>
      <c r="BO67" s="109"/>
      <c r="BP67" s="109"/>
      <c r="BQ67" s="110"/>
      <c r="BR67" s="110"/>
      <c r="BS67" s="110"/>
      <c r="BT67" s="110"/>
      <c r="BU67" s="110"/>
      <c r="BV67" s="109"/>
      <c r="BW67" s="109"/>
      <c r="BX67" s="110"/>
      <c r="BY67" s="110"/>
      <c r="BZ67" s="110"/>
      <c r="CA67" s="110"/>
      <c r="CB67" s="110"/>
    </row>
    <row r="68" ht="30.0" customHeight="1">
      <c r="A68" s="44"/>
      <c r="B68" s="113" t="s">
        <v>355</v>
      </c>
      <c r="C68" s="114" t="s">
        <v>356</v>
      </c>
      <c r="D68" s="121" t="s">
        <v>277</v>
      </c>
      <c r="E68" s="114" t="s">
        <v>357</v>
      </c>
      <c r="F68" s="116"/>
      <c r="G68" s="117">
        <v>46302.0</v>
      </c>
      <c r="H68" s="117">
        <v>46311.0</v>
      </c>
      <c r="I68" s="118">
        <v>0.016</v>
      </c>
      <c r="J68" s="119">
        <v>0.0</v>
      </c>
      <c r="K68" s="109"/>
      <c r="L68" s="109"/>
      <c r="M68" s="110"/>
      <c r="N68" s="110"/>
      <c r="O68" s="110"/>
      <c r="P68" s="110"/>
      <c r="Q68" s="110"/>
      <c r="R68" s="109"/>
      <c r="S68" s="109"/>
      <c r="T68" s="110"/>
      <c r="U68" s="110"/>
      <c r="V68" s="110"/>
      <c r="W68" s="110"/>
      <c r="X68" s="110"/>
      <c r="Y68" s="109"/>
      <c r="Z68" s="109"/>
      <c r="AA68" s="110"/>
      <c r="AB68" s="110"/>
      <c r="AC68" s="110"/>
      <c r="AD68" s="110"/>
      <c r="AE68" s="110"/>
      <c r="AF68" s="109"/>
      <c r="AG68" s="109"/>
      <c r="AH68" s="110"/>
      <c r="AI68" s="110"/>
      <c r="AJ68" s="110"/>
      <c r="AK68" s="110"/>
      <c r="AL68" s="110"/>
      <c r="AM68" s="109"/>
      <c r="AN68" s="109"/>
      <c r="AO68" s="110"/>
      <c r="AP68" s="110"/>
      <c r="AQ68" s="110"/>
      <c r="AR68" s="110"/>
      <c r="AS68" s="110"/>
      <c r="AT68" s="109"/>
      <c r="AU68" s="109"/>
      <c r="AV68" s="110"/>
      <c r="AW68" s="110"/>
      <c r="AX68" s="124"/>
      <c r="AY68" s="124"/>
      <c r="AZ68" s="124"/>
      <c r="BA68" s="124"/>
      <c r="BB68" s="124"/>
      <c r="BC68" s="124"/>
      <c r="BD68" s="124"/>
      <c r="BE68" s="124"/>
      <c r="BF68" s="124"/>
      <c r="BG68" s="124"/>
      <c r="BH68" s="109"/>
      <c r="BI68" s="109"/>
      <c r="BJ68" s="110"/>
      <c r="BK68" s="110"/>
      <c r="BL68" s="110"/>
      <c r="BM68" s="110"/>
      <c r="BN68" s="110"/>
      <c r="BO68" s="109"/>
      <c r="BP68" s="109"/>
      <c r="BQ68" s="110"/>
      <c r="BR68" s="110"/>
      <c r="BS68" s="110"/>
      <c r="BT68" s="110"/>
      <c r="BU68" s="110"/>
      <c r="BV68" s="109"/>
      <c r="BW68" s="109"/>
      <c r="BX68" s="110"/>
      <c r="BY68" s="110"/>
      <c r="BZ68" s="110"/>
      <c r="CA68" s="110"/>
      <c r="CB68" s="110"/>
    </row>
    <row r="69" ht="30.0" customHeight="1">
      <c r="A69" s="44"/>
      <c r="B69" s="113" t="s">
        <v>358</v>
      </c>
      <c r="C69" s="114" t="s">
        <v>359</v>
      </c>
      <c r="D69" s="121" t="s">
        <v>277</v>
      </c>
      <c r="E69" s="114" t="s">
        <v>360</v>
      </c>
      <c r="F69" s="116"/>
      <c r="G69" s="117">
        <v>46311.0</v>
      </c>
      <c r="H69" s="117">
        <v>46318.0</v>
      </c>
      <c r="I69" s="118">
        <v>0.008</v>
      </c>
      <c r="J69" s="119">
        <v>0.0</v>
      </c>
      <c r="K69" s="109"/>
      <c r="L69" s="109"/>
      <c r="M69" s="110"/>
      <c r="N69" s="110"/>
      <c r="O69" s="110"/>
      <c r="P69" s="110"/>
      <c r="Q69" s="110"/>
      <c r="R69" s="109"/>
      <c r="S69" s="109"/>
      <c r="T69" s="110"/>
      <c r="U69" s="110"/>
      <c r="V69" s="110"/>
      <c r="W69" s="110"/>
      <c r="X69" s="110"/>
      <c r="Y69" s="109"/>
      <c r="Z69" s="109"/>
      <c r="AA69" s="110"/>
      <c r="AB69" s="110"/>
      <c r="AC69" s="110"/>
      <c r="AD69" s="110"/>
      <c r="AE69" s="110"/>
      <c r="AF69" s="109"/>
      <c r="AG69" s="109"/>
      <c r="AH69" s="110"/>
      <c r="AI69" s="110"/>
      <c r="AJ69" s="110"/>
      <c r="AK69" s="110"/>
      <c r="AL69" s="110"/>
      <c r="AM69" s="109"/>
      <c r="AN69" s="109"/>
      <c r="AO69" s="110"/>
      <c r="AP69" s="110"/>
      <c r="AQ69" s="110"/>
      <c r="AR69" s="110"/>
      <c r="AS69" s="110"/>
      <c r="AT69" s="109"/>
      <c r="AU69" s="109"/>
      <c r="AV69" s="110"/>
      <c r="AW69" s="110"/>
      <c r="AX69" s="110"/>
      <c r="AY69" s="110"/>
      <c r="AZ69" s="110"/>
      <c r="BA69" s="109"/>
      <c r="BB69" s="109"/>
      <c r="BC69" s="110"/>
      <c r="BD69" s="110"/>
      <c r="BE69" s="124"/>
      <c r="BF69" s="124"/>
      <c r="BG69" s="124"/>
      <c r="BH69" s="124"/>
      <c r="BI69" s="124"/>
      <c r="BJ69" s="124"/>
      <c r="BK69" s="124"/>
      <c r="BL69" s="124"/>
      <c r="BM69" s="110"/>
      <c r="BN69" s="110"/>
      <c r="BO69" s="109"/>
      <c r="BP69" s="109"/>
      <c r="BQ69" s="110"/>
      <c r="BR69" s="110"/>
      <c r="BS69" s="110"/>
      <c r="BT69" s="110"/>
      <c r="BU69" s="110"/>
      <c r="BV69" s="109"/>
      <c r="BW69" s="109"/>
      <c r="BX69" s="110"/>
      <c r="BY69" s="110"/>
      <c r="BZ69" s="110"/>
      <c r="CA69" s="110"/>
      <c r="CB69" s="110"/>
    </row>
    <row r="70" ht="30.0" customHeight="1">
      <c r="A70" s="105"/>
      <c r="B70" s="103" t="s">
        <v>361</v>
      </c>
      <c r="C70" s="104" t="s">
        <v>362</v>
      </c>
      <c r="D70" s="104"/>
      <c r="E70" s="104" t="s">
        <v>33</v>
      </c>
      <c r="F70" s="104"/>
      <c r="G70" s="106">
        <f>MIN(G71:G81)</f>
        <v>46315</v>
      </c>
      <c r="H70" s="106">
        <f>MAX(H71:H81)</f>
        <v>46328</v>
      </c>
      <c r="I70" s="107">
        <f>SUM(I71:I81)</f>
        <v>0.09</v>
      </c>
      <c r="J70" s="108">
        <f>IFERROR((I71*J71+I72*J72+I73*J73+I74*J74+I75*J75+I76*J76+I77*J77+I78*J78+I79*J79+I80*J80+I81*J81)/SUM(I71:I81),0)</f>
        <v>0</v>
      </c>
      <c r="K70" s="109"/>
      <c r="L70" s="109"/>
      <c r="M70" s="110"/>
      <c r="N70" s="110"/>
      <c r="O70" s="110"/>
      <c r="P70" s="110"/>
      <c r="Q70" s="110"/>
      <c r="R70" s="109"/>
      <c r="S70" s="109"/>
      <c r="T70" s="110"/>
      <c r="U70" s="110"/>
      <c r="V70" s="110"/>
      <c r="W70" s="110"/>
      <c r="X70" s="110"/>
      <c r="Y70" s="109"/>
      <c r="Z70" s="109"/>
      <c r="AA70" s="110"/>
      <c r="AB70" s="110"/>
      <c r="AC70" s="110"/>
      <c r="AD70" s="110"/>
      <c r="AE70" s="110"/>
      <c r="AF70" s="109"/>
      <c r="AG70" s="109"/>
      <c r="AH70" s="110"/>
      <c r="AI70" s="110"/>
      <c r="AJ70" s="110"/>
      <c r="AK70" s="110"/>
      <c r="AL70" s="110"/>
      <c r="AM70" s="109"/>
      <c r="AN70" s="109"/>
      <c r="AO70" s="110"/>
      <c r="AP70" s="110"/>
      <c r="AQ70" s="110"/>
      <c r="AR70" s="110"/>
      <c r="AS70" s="110"/>
      <c r="AT70" s="109"/>
      <c r="AU70" s="109"/>
      <c r="AV70" s="110"/>
      <c r="AW70" s="110"/>
      <c r="AX70" s="110"/>
      <c r="AY70" s="110"/>
      <c r="AZ70" s="110"/>
      <c r="BA70" s="109"/>
      <c r="BB70" s="109"/>
      <c r="BC70" s="110"/>
      <c r="BD70" s="110"/>
      <c r="BE70" s="110"/>
      <c r="BF70" s="112"/>
      <c r="BG70" s="112"/>
      <c r="BH70" s="112"/>
      <c r="BI70" s="112"/>
      <c r="BJ70" s="112"/>
      <c r="BK70" s="112"/>
      <c r="BL70" s="112"/>
      <c r="BM70" s="112"/>
      <c r="BN70" s="112"/>
      <c r="BO70" s="112"/>
      <c r="BP70" s="112"/>
      <c r="BQ70" s="112"/>
      <c r="BR70" s="112"/>
      <c r="BS70" s="112"/>
      <c r="BT70" s="110"/>
      <c r="BU70" s="110"/>
      <c r="BV70" s="109"/>
      <c r="BW70" s="109"/>
      <c r="BX70" s="110"/>
      <c r="BY70" s="110"/>
      <c r="BZ70" s="110"/>
      <c r="CA70" s="110"/>
      <c r="CB70" s="110"/>
    </row>
    <row r="71" ht="30.0" customHeight="1">
      <c r="A71" s="44"/>
      <c r="B71" s="113" t="s">
        <v>363</v>
      </c>
      <c r="C71" s="114" t="s">
        <v>364</v>
      </c>
      <c r="D71" s="121" t="s">
        <v>277</v>
      </c>
      <c r="E71" s="114" t="s">
        <v>365</v>
      </c>
      <c r="F71" s="116"/>
      <c r="G71" s="117">
        <v>46315.0</v>
      </c>
      <c r="H71" s="117">
        <v>46324.0</v>
      </c>
      <c r="I71" s="118">
        <v>0.016</v>
      </c>
      <c r="J71" s="119">
        <v>0.0</v>
      </c>
      <c r="K71" s="109"/>
      <c r="L71" s="109"/>
      <c r="M71" s="110"/>
      <c r="N71" s="110"/>
      <c r="O71" s="110"/>
      <c r="P71" s="110"/>
      <c r="Q71" s="110"/>
      <c r="R71" s="109"/>
      <c r="S71" s="109"/>
      <c r="T71" s="110"/>
      <c r="U71" s="110"/>
      <c r="V71" s="110"/>
      <c r="W71" s="110"/>
      <c r="X71" s="110"/>
      <c r="Y71" s="109"/>
      <c r="Z71" s="109"/>
      <c r="AA71" s="110"/>
      <c r="AB71" s="110"/>
      <c r="AC71" s="110"/>
      <c r="AD71" s="110"/>
      <c r="AE71" s="110"/>
      <c r="AF71" s="109"/>
      <c r="AG71" s="109"/>
      <c r="AH71" s="110"/>
      <c r="AI71" s="110"/>
      <c r="AJ71" s="110"/>
      <c r="AK71" s="110"/>
      <c r="AL71" s="110"/>
      <c r="AM71" s="109"/>
      <c r="AN71" s="109"/>
      <c r="AO71" s="110"/>
      <c r="AP71" s="110"/>
      <c r="AQ71" s="110"/>
      <c r="AR71" s="110"/>
      <c r="AS71" s="110"/>
      <c r="AT71" s="109"/>
      <c r="AU71" s="109"/>
      <c r="AV71" s="110"/>
      <c r="AW71" s="110"/>
      <c r="AX71" s="110"/>
      <c r="AY71" s="110"/>
      <c r="AZ71" s="110"/>
      <c r="BA71" s="109"/>
      <c r="BB71" s="109"/>
      <c r="BC71" s="110"/>
      <c r="BD71" s="110"/>
      <c r="BE71" s="110"/>
      <c r="BF71" s="125"/>
      <c r="BG71" s="125"/>
      <c r="BH71" s="125"/>
      <c r="BI71" s="125"/>
      <c r="BJ71" s="125"/>
      <c r="BK71" s="125"/>
      <c r="BL71" s="125"/>
      <c r="BM71" s="125"/>
      <c r="BN71" s="125"/>
      <c r="BO71" s="109"/>
      <c r="BP71" s="109"/>
      <c r="BQ71" s="110"/>
      <c r="BR71" s="110"/>
      <c r="BS71" s="110"/>
      <c r="BT71" s="110"/>
      <c r="BU71" s="110"/>
      <c r="BV71" s="109"/>
      <c r="BW71" s="109"/>
      <c r="BX71" s="110"/>
      <c r="BY71" s="110"/>
      <c r="BZ71" s="110"/>
      <c r="CA71" s="110"/>
      <c r="CB71" s="110"/>
    </row>
    <row r="72" ht="30.0" customHeight="1">
      <c r="A72" s="44"/>
      <c r="B72" s="113" t="s">
        <v>366</v>
      </c>
      <c r="C72" s="114" t="s">
        <v>367</v>
      </c>
      <c r="D72" s="121" t="s">
        <v>277</v>
      </c>
      <c r="E72" s="114" t="s">
        <v>368</v>
      </c>
      <c r="F72" s="116"/>
      <c r="G72" s="117">
        <v>46315.0</v>
      </c>
      <c r="H72" s="117">
        <v>46322.0</v>
      </c>
      <c r="I72" s="118">
        <v>0.011</v>
      </c>
      <c r="J72" s="119">
        <v>0.0</v>
      </c>
      <c r="K72" s="109"/>
      <c r="L72" s="109"/>
      <c r="M72" s="110"/>
      <c r="N72" s="110"/>
      <c r="O72" s="110"/>
      <c r="P72" s="110"/>
      <c r="Q72" s="110"/>
      <c r="R72" s="109"/>
      <c r="S72" s="109"/>
      <c r="T72" s="110"/>
      <c r="U72" s="110"/>
      <c r="V72" s="110"/>
      <c r="W72" s="110"/>
      <c r="X72" s="110"/>
      <c r="Y72" s="109"/>
      <c r="Z72" s="109"/>
      <c r="AA72" s="110"/>
      <c r="AB72" s="110"/>
      <c r="AC72" s="110"/>
      <c r="AD72" s="110"/>
      <c r="AE72" s="110"/>
      <c r="AF72" s="109"/>
      <c r="AG72" s="109"/>
      <c r="AH72" s="110"/>
      <c r="AI72" s="110"/>
      <c r="AJ72" s="110"/>
      <c r="AK72" s="110"/>
      <c r="AL72" s="110"/>
      <c r="AM72" s="109"/>
      <c r="AN72" s="109"/>
      <c r="AO72" s="110"/>
      <c r="AP72" s="110"/>
      <c r="AQ72" s="110"/>
      <c r="AR72" s="110"/>
      <c r="AS72" s="110"/>
      <c r="AT72" s="109"/>
      <c r="AU72" s="109"/>
      <c r="AV72" s="110"/>
      <c r="AW72" s="110"/>
      <c r="AX72" s="110"/>
      <c r="AY72" s="110"/>
      <c r="AZ72" s="110"/>
      <c r="BA72" s="109"/>
      <c r="BB72" s="109"/>
      <c r="BC72" s="110"/>
      <c r="BD72" s="110"/>
      <c r="BE72" s="110"/>
      <c r="BF72" s="125"/>
      <c r="BG72" s="125"/>
      <c r="BH72" s="125"/>
      <c r="BI72" s="125"/>
      <c r="BJ72" s="125"/>
      <c r="BK72" s="125"/>
      <c r="BL72" s="125"/>
      <c r="BM72" s="125"/>
      <c r="BN72" s="110"/>
      <c r="BO72" s="109"/>
      <c r="BP72" s="109"/>
      <c r="BQ72" s="110"/>
      <c r="BR72" s="110"/>
      <c r="BS72" s="110"/>
      <c r="BT72" s="110"/>
      <c r="BU72" s="110"/>
      <c r="BV72" s="109"/>
      <c r="BW72" s="109"/>
      <c r="BX72" s="110"/>
      <c r="BY72" s="110"/>
      <c r="BZ72" s="110"/>
      <c r="CA72" s="110"/>
      <c r="CB72" s="110"/>
    </row>
    <row r="73" ht="30.0" customHeight="1">
      <c r="A73" s="44"/>
      <c r="B73" s="113" t="s">
        <v>369</v>
      </c>
      <c r="C73" s="114" t="s">
        <v>370</v>
      </c>
      <c r="D73" s="121" t="s">
        <v>277</v>
      </c>
      <c r="E73" s="114" t="s">
        <v>371</v>
      </c>
      <c r="F73" s="116"/>
      <c r="G73" s="117">
        <v>46321.0</v>
      </c>
      <c r="H73" s="117">
        <v>46323.0</v>
      </c>
      <c r="I73" s="118">
        <v>0.005</v>
      </c>
      <c r="J73" s="119">
        <v>0.0</v>
      </c>
      <c r="K73" s="109"/>
      <c r="L73" s="109"/>
      <c r="M73" s="110"/>
      <c r="N73" s="110"/>
      <c r="O73" s="110"/>
      <c r="P73" s="110"/>
      <c r="Q73" s="110"/>
      <c r="R73" s="109"/>
      <c r="S73" s="109"/>
      <c r="T73" s="110"/>
      <c r="U73" s="110"/>
      <c r="V73" s="110"/>
      <c r="W73" s="110"/>
      <c r="X73" s="110"/>
      <c r="Y73" s="109"/>
      <c r="Z73" s="109"/>
      <c r="AA73" s="110"/>
      <c r="AB73" s="110"/>
      <c r="AC73" s="110"/>
      <c r="AD73" s="110"/>
      <c r="AE73" s="110"/>
      <c r="AF73" s="109"/>
      <c r="AG73" s="109"/>
      <c r="AH73" s="110"/>
      <c r="AI73" s="110"/>
      <c r="AJ73" s="110"/>
      <c r="AK73" s="110"/>
      <c r="AL73" s="110"/>
      <c r="AM73" s="109"/>
      <c r="AN73" s="109"/>
      <c r="AO73" s="110"/>
      <c r="AP73" s="110"/>
      <c r="AQ73" s="110"/>
      <c r="AR73" s="110"/>
      <c r="AS73" s="110"/>
      <c r="AT73" s="109"/>
      <c r="AU73" s="109"/>
      <c r="AV73" s="110"/>
      <c r="AW73" s="110"/>
      <c r="AX73" s="110"/>
      <c r="AY73" s="110"/>
      <c r="AZ73" s="110"/>
      <c r="BA73" s="109"/>
      <c r="BB73" s="109"/>
      <c r="BC73" s="110"/>
      <c r="BD73" s="110"/>
      <c r="BE73" s="110"/>
      <c r="BF73" s="110"/>
      <c r="BG73" s="110"/>
      <c r="BH73" s="109"/>
      <c r="BI73" s="109"/>
      <c r="BJ73" s="110"/>
      <c r="BK73" s="110"/>
      <c r="BL73" s="125"/>
      <c r="BM73" s="125"/>
      <c r="BN73" s="125"/>
      <c r="BO73" s="109"/>
      <c r="BP73" s="109"/>
      <c r="BQ73" s="110"/>
      <c r="BR73" s="110"/>
      <c r="BS73" s="110"/>
      <c r="BT73" s="110"/>
      <c r="BU73" s="110"/>
      <c r="BV73" s="109"/>
      <c r="BW73" s="109"/>
      <c r="BX73" s="110"/>
      <c r="BY73" s="110"/>
      <c r="BZ73" s="110"/>
      <c r="CA73" s="110"/>
      <c r="CB73" s="110"/>
    </row>
    <row r="74" ht="30.0" customHeight="1">
      <c r="A74" s="44"/>
      <c r="B74" s="113" t="s">
        <v>372</v>
      </c>
      <c r="C74" s="114" t="s">
        <v>373</v>
      </c>
      <c r="D74" s="121" t="s">
        <v>277</v>
      </c>
      <c r="E74" s="114" t="s">
        <v>374</v>
      </c>
      <c r="F74" s="116"/>
      <c r="G74" s="117">
        <v>46317.0</v>
      </c>
      <c r="H74" s="117">
        <v>46322.0</v>
      </c>
      <c r="I74" s="118">
        <v>0.007</v>
      </c>
      <c r="J74" s="119">
        <v>0.0</v>
      </c>
      <c r="K74" s="109"/>
      <c r="L74" s="109"/>
      <c r="M74" s="110"/>
      <c r="N74" s="110"/>
      <c r="O74" s="110"/>
      <c r="P74" s="110"/>
      <c r="Q74" s="110"/>
      <c r="R74" s="109"/>
      <c r="S74" s="109"/>
      <c r="T74" s="110"/>
      <c r="U74" s="110"/>
      <c r="V74" s="110"/>
      <c r="W74" s="110"/>
      <c r="X74" s="110"/>
      <c r="Y74" s="109"/>
      <c r="Z74" s="109"/>
      <c r="AA74" s="110"/>
      <c r="AB74" s="110"/>
      <c r="AC74" s="110"/>
      <c r="AD74" s="110"/>
      <c r="AE74" s="110"/>
      <c r="AF74" s="109"/>
      <c r="AG74" s="109"/>
      <c r="AH74" s="110"/>
      <c r="AI74" s="110"/>
      <c r="AJ74" s="110"/>
      <c r="AK74" s="110"/>
      <c r="AL74" s="110"/>
      <c r="AM74" s="109"/>
      <c r="AN74" s="109"/>
      <c r="AO74" s="110"/>
      <c r="AP74" s="110"/>
      <c r="AQ74" s="110"/>
      <c r="AR74" s="110"/>
      <c r="AS74" s="110"/>
      <c r="AT74" s="109"/>
      <c r="AU74" s="109"/>
      <c r="AV74" s="110"/>
      <c r="AW74" s="110"/>
      <c r="AX74" s="110"/>
      <c r="AY74" s="110"/>
      <c r="AZ74" s="110"/>
      <c r="BA74" s="109"/>
      <c r="BB74" s="109"/>
      <c r="BC74" s="110"/>
      <c r="BD74" s="110"/>
      <c r="BE74" s="110"/>
      <c r="BF74" s="110"/>
      <c r="BG74" s="110"/>
      <c r="BH74" s="109"/>
      <c r="BI74" s="109"/>
      <c r="BJ74" s="125"/>
      <c r="BK74" s="125"/>
      <c r="BL74" s="125"/>
      <c r="BM74" s="125"/>
      <c r="BN74" s="125"/>
      <c r="BO74" s="109"/>
      <c r="BP74" s="109"/>
      <c r="BQ74" s="110"/>
      <c r="BR74" s="110"/>
      <c r="BS74" s="110"/>
      <c r="BT74" s="110"/>
      <c r="BU74" s="110"/>
      <c r="BV74" s="109"/>
      <c r="BW74" s="109"/>
      <c r="BX74" s="110"/>
      <c r="BY74" s="110"/>
      <c r="BZ74" s="110"/>
      <c r="CA74" s="110"/>
      <c r="CB74" s="110"/>
    </row>
    <row r="75" ht="30.0" customHeight="1">
      <c r="A75" s="44"/>
      <c r="B75" s="113" t="s">
        <v>375</v>
      </c>
      <c r="C75" s="114" t="s">
        <v>376</v>
      </c>
      <c r="D75" s="121" t="s">
        <v>277</v>
      </c>
      <c r="E75" s="114" t="s">
        <v>377</v>
      </c>
      <c r="F75" s="116"/>
      <c r="G75" s="117">
        <v>46317.0</v>
      </c>
      <c r="H75" s="117">
        <v>46322.0</v>
      </c>
      <c r="I75" s="118">
        <v>0.007</v>
      </c>
      <c r="J75" s="119">
        <v>0.0</v>
      </c>
      <c r="K75" s="109"/>
      <c r="L75" s="109"/>
      <c r="M75" s="110"/>
      <c r="N75" s="110"/>
      <c r="O75" s="110"/>
      <c r="P75" s="110"/>
      <c r="Q75" s="110"/>
      <c r="R75" s="109"/>
      <c r="S75" s="109"/>
      <c r="T75" s="110"/>
      <c r="U75" s="110"/>
      <c r="V75" s="110"/>
      <c r="W75" s="110"/>
      <c r="X75" s="110"/>
      <c r="Y75" s="109"/>
      <c r="Z75" s="109"/>
      <c r="AA75" s="110"/>
      <c r="AB75" s="110"/>
      <c r="AC75" s="110"/>
      <c r="AD75" s="110"/>
      <c r="AE75" s="110"/>
      <c r="AF75" s="109"/>
      <c r="AG75" s="109"/>
      <c r="AH75" s="110"/>
      <c r="AI75" s="110"/>
      <c r="AJ75" s="110"/>
      <c r="AK75" s="110"/>
      <c r="AL75" s="110"/>
      <c r="AM75" s="109"/>
      <c r="AN75" s="109"/>
      <c r="AO75" s="110"/>
      <c r="AP75" s="110"/>
      <c r="AQ75" s="110"/>
      <c r="AR75" s="110"/>
      <c r="AS75" s="110"/>
      <c r="AT75" s="109"/>
      <c r="AU75" s="109"/>
      <c r="AV75" s="110"/>
      <c r="AW75" s="110"/>
      <c r="AX75" s="110"/>
      <c r="AY75" s="110"/>
      <c r="AZ75" s="110"/>
      <c r="BA75" s="109"/>
      <c r="BB75" s="109"/>
      <c r="BC75" s="110"/>
      <c r="BD75" s="110"/>
      <c r="BE75" s="110"/>
      <c r="BF75" s="110"/>
      <c r="BG75" s="110"/>
      <c r="BH75" s="109"/>
      <c r="BI75" s="109"/>
      <c r="BJ75" s="125"/>
      <c r="BK75" s="125"/>
      <c r="BL75" s="125"/>
      <c r="BM75" s="125"/>
      <c r="BN75" s="125"/>
      <c r="BO75" s="109"/>
      <c r="BP75" s="109"/>
      <c r="BQ75" s="110"/>
      <c r="BR75" s="110"/>
      <c r="BS75" s="110"/>
      <c r="BT75" s="110"/>
      <c r="BU75" s="110"/>
      <c r="BV75" s="109"/>
      <c r="BW75" s="109"/>
      <c r="BX75" s="110"/>
      <c r="BY75" s="110"/>
      <c r="BZ75" s="110"/>
      <c r="CA75" s="110"/>
      <c r="CB75" s="110"/>
    </row>
    <row r="76" ht="30.0" customHeight="1">
      <c r="A76" s="44"/>
      <c r="B76" s="113" t="s">
        <v>378</v>
      </c>
      <c r="C76" s="114" t="s">
        <v>379</v>
      </c>
      <c r="D76" s="121" t="s">
        <v>277</v>
      </c>
      <c r="E76" s="114" t="s">
        <v>380</v>
      </c>
      <c r="F76" s="116"/>
      <c r="G76" s="117">
        <v>46322.0</v>
      </c>
      <c r="H76" s="117">
        <v>46326.0</v>
      </c>
      <c r="I76" s="118">
        <v>0.012</v>
      </c>
      <c r="J76" s="119">
        <v>0.0</v>
      </c>
      <c r="K76" s="109"/>
      <c r="L76" s="109"/>
      <c r="M76" s="110"/>
      <c r="N76" s="110"/>
      <c r="O76" s="110"/>
      <c r="P76" s="110"/>
      <c r="Q76" s="110"/>
      <c r="R76" s="109"/>
      <c r="S76" s="109"/>
      <c r="T76" s="110"/>
      <c r="U76" s="110"/>
      <c r="V76" s="110"/>
      <c r="W76" s="110"/>
      <c r="X76" s="110"/>
      <c r="Y76" s="109"/>
      <c r="Z76" s="109"/>
      <c r="AA76" s="110"/>
      <c r="AB76" s="110"/>
      <c r="AC76" s="110"/>
      <c r="AD76" s="110"/>
      <c r="AE76" s="110"/>
      <c r="AF76" s="109"/>
      <c r="AG76" s="109"/>
      <c r="AH76" s="110"/>
      <c r="AI76" s="110"/>
      <c r="AJ76" s="110"/>
      <c r="AK76" s="110"/>
      <c r="AL76" s="110"/>
      <c r="AM76" s="109"/>
      <c r="AN76" s="109"/>
      <c r="AO76" s="110"/>
      <c r="AP76" s="110"/>
      <c r="AQ76" s="110"/>
      <c r="AR76" s="110"/>
      <c r="AS76" s="110"/>
      <c r="AT76" s="109"/>
      <c r="AU76" s="109"/>
      <c r="AV76" s="110"/>
      <c r="AW76" s="110"/>
      <c r="AX76" s="110"/>
      <c r="AY76" s="110"/>
      <c r="AZ76" s="110"/>
      <c r="BA76" s="109"/>
      <c r="BB76" s="109"/>
      <c r="BC76" s="110"/>
      <c r="BD76" s="110"/>
      <c r="BE76" s="110"/>
      <c r="BF76" s="110"/>
      <c r="BG76" s="110"/>
      <c r="BH76" s="109"/>
      <c r="BI76" s="109"/>
      <c r="BJ76" s="110"/>
      <c r="BK76" s="110"/>
      <c r="BL76" s="125"/>
      <c r="BM76" s="125"/>
      <c r="BN76" s="125"/>
      <c r="BO76" s="125"/>
      <c r="BP76" s="125"/>
      <c r="BQ76" s="125"/>
      <c r="BR76" s="125"/>
      <c r="BS76" s="110"/>
      <c r="BT76" s="110"/>
      <c r="BU76" s="110"/>
      <c r="BV76" s="109"/>
      <c r="BW76" s="109"/>
      <c r="BX76" s="110"/>
      <c r="BY76" s="110"/>
      <c r="BZ76" s="110"/>
      <c r="CA76" s="110"/>
      <c r="CB76" s="110"/>
    </row>
    <row r="77" ht="30.0" customHeight="1">
      <c r="A77" s="44"/>
      <c r="B77" s="113" t="s">
        <v>381</v>
      </c>
      <c r="C77" s="114" t="s">
        <v>382</v>
      </c>
      <c r="D77" s="121" t="s">
        <v>277</v>
      </c>
      <c r="E77" s="114" t="s">
        <v>383</v>
      </c>
      <c r="F77" s="116"/>
      <c r="G77" s="117">
        <v>46322.0</v>
      </c>
      <c r="H77" s="117">
        <v>46325.0</v>
      </c>
      <c r="I77" s="118">
        <v>0.008</v>
      </c>
      <c r="J77" s="119">
        <v>0.0</v>
      </c>
      <c r="K77" s="109"/>
      <c r="L77" s="109"/>
      <c r="M77" s="110"/>
      <c r="N77" s="110"/>
      <c r="O77" s="110"/>
      <c r="P77" s="110"/>
      <c r="Q77" s="110"/>
      <c r="R77" s="109"/>
      <c r="S77" s="109"/>
      <c r="T77" s="110"/>
      <c r="U77" s="110"/>
      <c r="V77" s="110"/>
      <c r="W77" s="110"/>
      <c r="X77" s="110"/>
      <c r="Y77" s="109"/>
      <c r="Z77" s="109"/>
      <c r="AA77" s="110"/>
      <c r="AB77" s="110"/>
      <c r="AC77" s="110"/>
      <c r="AD77" s="110"/>
      <c r="AE77" s="110"/>
      <c r="AF77" s="109"/>
      <c r="AG77" s="109"/>
      <c r="AH77" s="110"/>
      <c r="AI77" s="110"/>
      <c r="AJ77" s="110"/>
      <c r="AK77" s="110"/>
      <c r="AL77" s="110"/>
      <c r="AM77" s="109"/>
      <c r="AN77" s="109"/>
      <c r="AO77" s="110"/>
      <c r="AP77" s="110"/>
      <c r="AQ77" s="110"/>
      <c r="AR77" s="110"/>
      <c r="AS77" s="110"/>
      <c r="AT77" s="109"/>
      <c r="AU77" s="109"/>
      <c r="AV77" s="110"/>
      <c r="AW77" s="110"/>
      <c r="AX77" s="110"/>
      <c r="AY77" s="110"/>
      <c r="AZ77" s="110"/>
      <c r="BA77" s="109"/>
      <c r="BB77" s="109"/>
      <c r="BC77" s="110"/>
      <c r="BD77" s="110"/>
      <c r="BE77" s="110"/>
      <c r="BF77" s="110"/>
      <c r="BG77" s="110"/>
      <c r="BH77" s="109"/>
      <c r="BI77" s="109"/>
      <c r="BJ77" s="110"/>
      <c r="BK77" s="110"/>
      <c r="BL77" s="125"/>
      <c r="BM77" s="125"/>
      <c r="BN77" s="125"/>
      <c r="BO77" s="125"/>
      <c r="BP77" s="125"/>
      <c r="BQ77" s="125"/>
      <c r="BR77" s="110"/>
      <c r="BS77" s="110"/>
      <c r="BT77" s="110"/>
      <c r="BU77" s="110"/>
      <c r="BV77" s="109"/>
      <c r="BW77" s="109"/>
      <c r="BX77" s="110"/>
      <c r="BY77" s="110"/>
      <c r="BZ77" s="110"/>
      <c r="CA77" s="110"/>
      <c r="CB77" s="110"/>
    </row>
    <row r="78" ht="30.0" customHeight="1">
      <c r="A78" s="44"/>
      <c r="B78" s="113" t="s">
        <v>384</v>
      </c>
      <c r="C78" s="114" t="s">
        <v>385</v>
      </c>
      <c r="D78" s="121" t="s">
        <v>277</v>
      </c>
      <c r="E78" s="114" t="s">
        <v>386</v>
      </c>
      <c r="F78" s="116"/>
      <c r="G78" s="117">
        <v>46323.0</v>
      </c>
      <c r="H78" s="117">
        <v>46326.0</v>
      </c>
      <c r="I78" s="118">
        <v>0.009</v>
      </c>
      <c r="J78" s="119">
        <v>0.0</v>
      </c>
      <c r="K78" s="109"/>
      <c r="L78" s="109"/>
      <c r="M78" s="110"/>
      <c r="N78" s="110"/>
      <c r="O78" s="110"/>
      <c r="P78" s="110"/>
      <c r="Q78" s="110"/>
      <c r="R78" s="109"/>
      <c r="S78" s="109"/>
      <c r="T78" s="110"/>
      <c r="U78" s="110"/>
      <c r="V78" s="110"/>
      <c r="W78" s="110"/>
      <c r="X78" s="110"/>
      <c r="Y78" s="109"/>
      <c r="Z78" s="109"/>
      <c r="AA78" s="110"/>
      <c r="AB78" s="110"/>
      <c r="AC78" s="110"/>
      <c r="AD78" s="110"/>
      <c r="AE78" s="110"/>
      <c r="AF78" s="109"/>
      <c r="AG78" s="109"/>
      <c r="AH78" s="110"/>
      <c r="AI78" s="110"/>
      <c r="AJ78" s="110"/>
      <c r="AK78" s="110"/>
      <c r="AL78" s="110"/>
      <c r="AM78" s="109"/>
      <c r="AN78" s="109"/>
      <c r="AO78" s="110"/>
      <c r="AP78" s="110"/>
      <c r="AQ78" s="110"/>
      <c r="AR78" s="110"/>
      <c r="AS78" s="110"/>
      <c r="AT78" s="109"/>
      <c r="AU78" s="109"/>
      <c r="AV78" s="110"/>
      <c r="AW78" s="110"/>
      <c r="AX78" s="110"/>
      <c r="AY78" s="110"/>
      <c r="AZ78" s="110"/>
      <c r="BA78" s="109"/>
      <c r="BB78" s="109"/>
      <c r="BC78" s="110"/>
      <c r="BD78" s="110"/>
      <c r="BE78" s="110"/>
      <c r="BF78" s="110"/>
      <c r="BG78" s="110"/>
      <c r="BH78" s="109"/>
      <c r="BI78" s="109"/>
      <c r="BJ78" s="110"/>
      <c r="BK78" s="110"/>
      <c r="BL78" s="110"/>
      <c r="BM78" s="125"/>
      <c r="BN78" s="125"/>
      <c r="BO78" s="125"/>
      <c r="BP78" s="125"/>
      <c r="BQ78" s="125"/>
      <c r="BR78" s="125"/>
      <c r="BS78" s="110"/>
      <c r="BT78" s="110"/>
      <c r="BU78" s="110"/>
      <c r="BV78" s="109"/>
      <c r="BW78" s="109"/>
      <c r="BX78" s="110"/>
      <c r="BY78" s="110"/>
      <c r="BZ78" s="110"/>
      <c r="CA78" s="110"/>
      <c r="CB78" s="110"/>
    </row>
    <row r="79" ht="30.0" customHeight="1">
      <c r="A79" s="44"/>
      <c r="B79" s="113" t="s">
        <v>387</v>
      </c>
      <c r="C79" s="114" t="s">
        <v>388</v>
      </c>
      <c r="D79" s="121" t="s">
        <v>277</v>
      </c>
      <c r="E79" s="114" t="s">
        <v>389</v>
      </c>
      <c r="F79" s="116"/>
      <c r="G79" s="117">
        <v>46325.0</v>
      </c>
      <c r="H79" s="117">
        <v>46328.0</v>
      </c>
      <c r="I79" s="118">
        <v>0.006</v>
      </c>
      <c r="J79" s="119">
        <v>0.0</v>
      </c>
      <c r="K79" s="109"/>
      <c r="L79" s="109"/>
      <c r="M79" s="110"/>
      <c r="N79" s="110"/>
      <c r="O79" s="110"/>
      <c r="P79" s="110"/>
      <c r="Q79" s="110"/>
      <c r="R79" s="109"/>
      <c r="S79" s="109"/>
      <c r="T79" s="110"/>
      <c r="U79" s="110"/>
      <c r="V79" s="110"/>
      <c r="W79" s="110"/>
      <c r="X79" s="110"/>
      <c r="Y79" s="109"/>
      <c r="Z79" s="109"/>
      <c r="AA79" s="110"/>
      <c r="AB79" s="110"/>
      <c r="AC79" s="110"/>
      <c r="AD79" s="110"/>
      <c r="AE79" s="110"/>
      <c r="AF79" s="109"/>
      <c r="AG79" s="109"/>
      <c r="AH79" s="110"/>
      <c r="AI79" s="110"/>
      <c r="AJ79" s="110"/>
      <c r="AK79" s="110"/>
      <c r="AL79" s="110"/>
      <c r="AM79" s="109"/>
      <c r="AN79" s="109"/>
      <c r="AO79" s="110"/>
      <c r="AP79" s="110"/>
      <c r="AQ79" s="110"/>
      <c r="AR79" s="110"/>
      <c r="AS79" s="110"/>
      <c r="AT79" s="109"/>
      <c r="AU79" s="109"/>
      <c r="AV79" s="110"/>
      <c r="AW79" s="110"/>
      <c r="AX79" s="110"/>
      <c r="AY79" s="110"/>
      <c r="AZ79" s="110"/>
      <c r="BA79" s="109"/>
      <c r="BB79" s="109"/>
      <c r="BC79" s="110"/>
      <c r="BD79" s="110"/>
      <c r="BE79" s="110"/>
      <c r="BF79" s="110"/>
      <c r="BG79" s="110"/>
      <c r="BH79" s="109"/>
      <c r="BI79" s="109"/>
      <c r="BJ79" s="110"/>
      <c r="BK79" s="110"/>
      <c r="BL79" s="110"/>
      <c r="BM79" s="110"/>
      <c r="BN79" s="110"/>
      <c r="BO79" s="109"/>
      <c r="BP79" s="109"/>
      <c r="BQ79" s="125"/>
      <c r="BR79" s="125"/>
      <c r="BS79" s="125"/>
      <c r="BT79" s="110"/>
      <c r="BU79" s="110"/>
      <c r="BV79" s="109"/>
      <c r="BW79" s="109"/>
      <c r="BX79" s="110"/>
      <c r="BY79" s="110"/>
      <c r="BZ79" s="110"/>
      <c r="CA79" s="110"/>
      <c r="CB79" s="110"/>
    </row>
    <row r="80" ht="30.0" customHeight="1">
      <c r="A80" s="44"/>
      <c r="B80" s="113" t="s">
        <v>390</v>
      </c>
      <c r="C80" s="114" t="s">
        <v>391</v>
      </c>
      <c r="D80" s="121" t="s">
        <v>277</v>
      </c>
      <c r="E80" s="114" t="s">
        <v>392</v>
      </c>
      <c r="F80" s="116"/>
      <c r="G80" s="117">
        <v>46315.0</v>
      </c>
      <c r="H80" s="117">
        <v>46318.0</v>
      </c>
      <c r="I80" s="118">
        <v>0.005</v>
      </c>
      <c r="J80" s="119">
        <v>0.0</v>
      </c>
      <c r="K80" s="109"/>
      <c r="L80" s="109"/>
      <c r="M80" s="110"/>
      <c r="N80" s="110"/>
      <c r="O80" s="110"/>
      <c r="P80" s="110"/>
      <c r="Q80" s="110"/>
      <c r="R80" s="109"/>
      <c r="S80" s="109"/>
      <c r="T80" s="110"/>
      <c r="U80" s="110"/>
      <c r="V80" s="110"/>
      <c r="W80" s="110"/>
      <c r="X80" s="110"/>
      <c r="Y80" s="109"/>
      <c r="Z80" s="109"/>
      <c r="AA80" s="110"/>
      <c r="AB80" s="110"/>
      <c r="AC80" s="110"/>
      <c r="AD80" s="110"/>
      <c r="AE80" s="110"/>
      <c r="AF80" s="109"/>
      <c r="AG80" s="109"/>
      <c r="AH80" s="110"/>
      <c r="AI80" s="110"/>
      <c r="AJ80" s="110"/>
      <c r="AK80" s="110"/>
      <c r="AL80" s="110"/>
      <c r="AM80" s="109"/>
      <c r="AN80" s="109"/>
      <c r="AO80" s="110"/>
      <c r="AP80" s="110"/>
      <c r="AQ80" s="110"/>
      <c r="AR80" s="110"/>
      <c r="AS80" s="110"/>
      <c r="AT80" s="109"/>
      <c r="AU80" s="109"/>
      <c r="AV80" s="110"/>
      <c r="AW80" s="110"/>
      <c r="AX80" s="110"/>
      <c r="AY80" s="110"/>
      <c r="AZ80" s="110"/>
      <c r="BA80" s="109"/>
      <c r="BB80" s="109"/>
      <c r="BC80" s="110"/>
      <c r="BD80" s="110"/>
      <c r="BE80" s="110"/>
      <c r="BF80" s="110"/>
      <c r="BG80" s="110"/>
      <c r="BH80" s="109"/>
      <c r="BI80" s="109"/>
      <c r="BJ80" s="125"/>
      <c r="BK80" s="125"/>
      <c r="BL80" s="125"/>
      <c r="BM80" s="110"/>
      <c r="BN80" s="110"/>
      <c r="BO80" s="109"/>
      <c r="BP80" s="109"/>
      <c r="BQ80" s="110"/>
      <c r="BR80" s="110"/>
      <c r="BS80" s="110"/>
      <c r="BT80" s="110"/>
      <c r="BU80" s="110"/>
      <c r="BV80" s="109"/>
      <c r="BW80" s="109"/>
      <c r="BX80" s="110"/>
      <c r="BY80" s="110"/>
      <c r="BZ80" s="110"/>
      <c r="CA80" s="110"/>
      <c r="CB80" s="110"/>
    </row>
    <row r="81" ht="30.0" customHeight="1">
      <c r="A81" s="44"/>
      <c r="B81" s="113" t="s">
        <v>393</v>
      </c>
      <c r="C81" s="114" t="s">
        <v>394</v>
      </c>
      <c r="D81" s="121" t="s">
        <v>277</v>
      </c>
      <c r="E81" s="114" t="s">
        <v>395</v>
      </c>
      <c r="F81" s="116"/>
      <c r="G81" s="117">
        <v>46318.0</v>
      </c>
      <c r="H81" s="117">
        <v>46321.0</v>
      </c>
      <c r="I81" s="118">
        <v>0.004</v>
      </c>
      <c r="J81" s="119">
        <v>0.0</v>
      </c>
      <c r="K81" s="109"/>
      <c r="L81" s="109"/>
      <c r="M81" s="110"/>
      <c r="N81" s="110"/>
      <c r="O81" s="110"/>
      <c r="P81" s="110"/>
      <c r="Q81" s="110"/>
      <c r="R81" s="109"/>
      <c r="S81" s="109"/>
      <c r="T81" s="110"/>
      <c r="U81" s="110"/>
      <c r="V81" s="110"/>
      <c r="W81" s="110"/>
      <c r="X81" s="110"/>
      <c r="Y81" s="109"/>
      <c r="Z81" s="109"/>
      <c r="AA81" s="110"/>
      <c r="AB81" s="110"/>
      <c r="AC81" s="110"/>
      <c r="AD81" s="110"/>
      <c r="AE81" s="110"/>
      <c r="AF81" s="109"/>
      <c r="AG81" s="109"/>
      <c r="AH81" s="110"/>
      <c r="AI81" s="110"/>
      <c r="AJ81" s="110"/>
      <c r="AK81" s="110"/>
      <c r="AL81" s="110"/>
      <c r="AM81" s="109"/>
      <c r="AN81" s="109"/>
      <c r="AO81" s="110"/>
      <c r="AP81" s="110"/>
      <c r="AQ81" s="110"/>
      <c r="AR81" s="110"/>
      <c r="AS81" s="110"/>
      <c r="AT81" s="109"/>
      <c r="AU81" s="109"/>
      <c r="AV81" s="110"/>
      <c r="AW81" s="110"/>
      <c r="AX81" s="110"/>
      <c r="AY81" s="110"/>
      <c r="AZ81" s="110"/>
      <c r="BA81" s="109"/>
      <c r="BB81" s="109"/>
      <c r="BC81" s="110"/>
      <c r="BD81" s="110"/>
      <c r="BE81" s="110"/>
      <c r="BF81" s="110"/>
      <c r="BG81" s="110"/>
      <c r="BH81" s="109"/>
      <c r="BI81" s="109"/>
      <c r="BJ81" s="110"/>
      <c r="BK81" s="125"/>
      <c r="BL81" s="125"/>
      <c r="BM81" s="125"/>
      <c r="BN81" s="110"/>
      <c r="BO81" s="109"/>
      <c r="BP81" s="109"/>
      <c r="BQ81" s="110"/>
      <c r="BR81" s="110"/>
      <c r="BS81" s="110"/>
      <c r="BT81" s="110"/>
      <c r="BU81" s="110"/>
      <c r="BV81" s="109"/>
      <c r="BW81" s="109"/>
      <c r="BX81" s="110"/>
      <c r="BY81" s="110"/>
      <c r="BZ81" s="110"/>
      <c r="CA81" s="110"/>
      <c r="CB81" s="110"/>
    </row>
    <row r="82" ht="30.0" customHeight="1">
      <c r="A82" s="105"/>
      <c r="B82" s="103" t="s">
        <v>396</v>
      </c>
      <c r="C82" s="104" t="s">
        <v>397</v>
      </c>
      <c r="D82" s="104"/>
      <c r="E82" s="104" t="s">
        <v>37</v>
      </c>
      <c r="F82" s="104"/>
      <c r="G82" s="106">
        <f>MIN(G83:G89)</f>
        <v>46316</v>
      </c>
      <c r="H82" s="106">
        <f>MAX(H83:H89)</f>
        <v>46328</v>
      </c>
      <c r="I82" s="107">
        <f>SUM(I83:I89)</f>
        <v>0.04</v>
      </c>
      <c r="J82" s="108">
        <f>IFERROR((I83*J83+I84*J84+I85*J85+I86*J86+I87*J87+I88*J88+I89*J89)/SUM(I83:I89),0)</f>
        <v>0</v>
      </c>
      <c r="K82" s="109"/>
      <c r="L82" s="109"/>
      <c r="M82" s="110"/>
      <c r="N82" s="110"/>
      <c r="O82" s="110"/>
      <c r="P82" s="110"/>
      <c r="Q82" s="110"/>
      <c r="R82" s="109"/>
      <c r="S82" s="109"/>
      <c r="T82" s="110"/>
      <c r="U82" s="110"/>
      <c r="V82" s="110"/>
      <c r="W82" s="110"/>
      <c r="X82" s="110"/>
      <c r="Y82" s="109"/>
      <c r="Z82" s="109"/>
      <c r="AA82" s="110"/>
      <c r="AB82" s="110"/>
      <c r="AC82" s="110"/>
      <c r="AD82" s="110"/>
      <c r="AE82" s="110"/>
      <c r="AF82" s="109"/>
      <c r="AG82" s="109"/>
      <c r="AH82" s="110"/>
      <c r="AI82" s="110"/>
      <c r="AJ82" s="110"/>
      <c r="AK82" s="110"/>
      <c r="AL82" s="110"/>
      <c r="AM82" s="109"/>
      <c r="AN82" s="109"/>
      <c r="AO82" s="110"/>
      <c r="AP82" s="110"/>
      <c r="AQ82" s="110"/>
      <c r="AR82" s="110"/>
      <c r="AS82" s="110"/>
      <c r="AT82" s="109"/>
      <c r="AU82" s="109"/>
      <c r="AV82" s="110"/>
      <c r="AW82" s="110"/>
      <c r="AX82" s="110"/>
      <c r="AY82" s="110"/>
      <c r="AZ82" s="110"/>
      <c r="BA82" s="109"/>
      <c r="BB82" s="109"/>
      <c r="BC82" s="110"/>
      <c r="BD82" s="110"/>
      <c r="BE82" s="110"/>
      <c r="BF82" s="110"/>
      <c r="BG82" s="110"/>
      <c r="BH82" s="109"/>
      <c r="BI82" s="109"/>
      <c r="BJ82" s="110"/>
      <c r="BK82" s="110"/>
      <c r="BL82" s="112"/>
      <c r="BM82" s="112"/>
      <c r="BN82" s="112"/>
      <c r="BO82" s="112"/>
      <c r="BP82" s="112"/>
      <c r="BQ82" s="112"/>
      <c r="BR82" s="112"/>
      <c r="BS82" s="112"/>
      <c r="BT82" s="112"/>
      <c r="BU82" s="110"/>
      <c r="BV82" s="109"/>
      <c r="BW82" s="109"/>
      <c r="BX82" s="110"/>
      <c r="BY82" s="110"/>
      <c r="BZ82" s="110"/>
      <c r="CA82" s="110"/>
      <c r="CB82" s="110"/>
    </row>
    <row r="83" ht="30.0" customHeight="1">
      <c r="A83" s="44"/>
      <c r="B83" s="113" t="s">
        <v>398</v>
      </c>
      <c r="C83" s="114" t="s">
        <v>399</v>
      </c>
      <c r="D83" s="121" t="s">
        <v>277</v>
      </c>
      <c r="E83" s="114" t="s">
        <v>400</v>
      </c>
      <c r="F83" s="116"/>
      <c r="G83" s="117">
        <v>46316.0</v>
      </c>
      <c r="H83" s="117">
        <v>46321.0</v>
      </c>
      <c r="I83" s="118">
        <v>0.006</v>
      </c>
      <c r="J83" s="119">
        <v>0.0</v>
      </c>
      <c r="K83" s="109"/>
      <c r="L83" s="109"/>
      <c r="M83" s="110"/>
      <c r="N83" s="110"/>
      <c r="O83" s="110"/>
      <c r="P83" s="110"/>
      <c r="Q83" s="110"/>
      <c r="R83" s="109"/>
      <c r="S83" s="109"/>
      <c r="T83" s="110"/>
      <c r="U83" s="110"/>
      <c r="V83" s="110"/>
      <c r="W83" s="110"/>
      <c r="X83" s="110"/>
      <c r="Y83" s="109"/>
      <c r="Z83" s="109"/>
      <c r="AA83" s="110"/>
      <c r="AB83" s="110"/>
      <c r="AC83" s="110"/>
      <c r="AD83" s="110"/>
      <c r="AE83" s="110"/>
      <c r="AF83" s="109"/>
      <c r="AG83" s="109"/>
      <c r="AH83" s="110"/>
      <c r="AI83" s="110"/>
      <c r="AJ83" s="110"/>
      <c r="AK83" s="110"/>
      <c r="AL83" s="110"/>
      <c r="AM83" s="109"/>
      <c r="AN83" s="109"/>
      <c r="AO83" s="110"/>
      <c r="AP83" s="110"/>
      <c r="AQ83" s="110"/>
      <c r="AR83" s="110"/>
      <c r="AS83" s="110"/>
      <c r="AT83" s="109"/>
      <c r="AU83" s="109"/>
      <c r="AV83" s="110"/>
      <c r="AW83" s="110"/>
      <c r="AX83" s="110"/>
      <c r="AY83" s="110"/>
      <c r="AZ83" s="110"/>
      <c r="BA83" s="109"/>
      <c r="BB83" s="109"/>
      <c r="BC83" s="110"/>
      <c r="BD83" s="110"/>
      <c r="BE83" s="110"/>
      <c r="BF83" s="110"/>
      <c r="BG83" s="110"/>
      <c r="BH83" s="109"/>
      <c r="BI83" s="109"/>
      <c r="BJ83" s="110"/>
      <c r="BK83" s="110"/>
      <c r="BL83" s="122"/>
      <c r="BM83" s="122"/>
      <c r="BN83" s="122"/>
      <c r="BO83" s="122"/>
      <c r="BP83" s="122"/>
      <c r="BQ83" s="122"/>
      <c r="BR83" s="110"/>
      <c r="BS83" s="110"/>
      <c r="BT83" s="110"/>
      <c r="BU83" s="110"/>
      <c r="BV83" s="109"/>
      <c r="BW83" s="109"/>
      <c r="BX83" s="110"/>
      <c r="BY83" s="110"/>
      <c r="BZ83" s="110"/>
      <c r="CA83" s="110"/>
      <c r="CB83" s="110"/>
    </row>
    <row r="84" ht="30.0" customHeight="1">
      <c r="A84" s="44"/>
      <c r="B84" s="113" t="s">
        <v>401</v>
      </c>
      <c r="C84" s="114" t="s">
        <v>402</v>
      </c>
      <c r="D84" s="121" t="s">
        <v>277</v>
      </c>
      <c r="E84" s="114" t="s">
        <v>403</v>
      </c>
      <c r="F84" s="116"/>
      <c r="G84" s="117">
        <v>46318.0</v>
      </c>
      <c r="H84" s="117">
        <v>46322.0</v>
      </c>
      <c r="I84" s="118">
        <v>0.003</v>
      </c>
      <c r="J84" s="119">
        <v>0.0</v>
      </c>
      <c r="K84" s="109"/>
      <c r="L84" s="109"/>
      <c r="M84" s="110"/>
      <c r="N84" s="110"/>
      <c r="O84" s="110"/>
      <c r="P84" s="110"/>
      <c r="Q84" s="110"/>
      <c r="R84" s="109"/>
      <c r="S84" s="109"/>
      <c r="T84" s="110"/>
      <c r="U84" s="110"/>
      <c r="V84" s="110"/>
      <c r="W84" s="110"/>
      <c r="X84" s="110"/>
      <c r="Y84" s="109"/>
      <c r="Z84" s="109"/>
      <c r="AA84" s="110"/>
      <c r="AB84" s="110"/>
      <c r="AC84" s="110"/>
      <c r="AD84" s="110"/>
      <c r="AE84" s="110"/>
      <c r="AF84" s="109"/>
      <c r="AG84" s="109"/>
      <c r="AH84" s="110"/>
      <c r="AI84" s="110"/>
      <c r="AJ84" s="110"/>
      <c r="AK84" s="110"/>
      <c r="AL84" s="110"/>
      <c r="AM84" s="109"/>
      <c r="AN84" s="109"/>
      <c r="AO84" s="110"/>
      <c r="AP84" s="110"/>
      <c r="AQ84" s="110"/>
      <c r="AR84" s="110"/>
      <c r="AS84" s="110"/>
      <c r="AT84" s="109"/>
      <c r="AU84" s="109"/>
      <c r="AV84" s="110"/>
      <c r="AW84" s="110"/>
      <c r="AX84" s="110"/>
      <c r="AY84" s="110"/>
      <c r="AZ84" s="110"/>
      <c r="BA84" s="109"/>
      <c r="BB84" s="109"/>
      <c r="BC84" s="110"/>
      <c r="BD84" s="110"/>
      <c r="BE84" s="110"/>
      <c r="BF84" s="110"/>
      <c r="BG84" s="110"/>
      <c r="BH84" s="109"/>
      <c r="BI84" s="109"/>
      <c r="BJ84" s="110"/>
      <c r="BK84" s="110"/>
      <c r="BL84" s="110"/>
      <c r="BM84" s="122"/>
      <c r="BN84" s="122"/>
      <c r="BO84" s="122"/>
      <c r="BP84" s="122"/>
      <c r="BQ84" s="122"/>
      <c r="BR84" s="110"/>
      <c r="BS84" s="110"/>
      <c r="BT84" s="110"/>
      <c r="BU84" s="110"/>
      <c r="BV84" s="109"/>
      <c r="BW84" s="109"/>
      <c r="BX84" s="110"/>
      <c r="BY84" s="110"/>
      <c r="BZ84" s="110"/>
      <c r="CA84" s="110"/>
      <c r="CB84" s="110"/>
    </row>
    <row r="85" ht="30.0" customHeight="1">
      <c r="A85" s="44"/>
      <c r="B85" s="113" t="s">
        <v>404</v>
      </c>
      <c r="C85" s="126" t="s">
        <v>405</v>
      </c>
      <c r="D85" s="121" t="s">
        <v>277</v>
      </c>
      <c r="E85" s="126" t="s">
        <v>406</v>
      </c>
      <c r="F85" s="116"/>
      <c r="G85" s="117">
        <v>46317.0</v>
      </c>
      <c r="H85" s="117">
        <v>46328.0</v>
      </c>
      <c r="I85" s="118">
        <v>0.014</v>
      </c>
      <c r="J85" s="119">
        <v>0.0</v>
      </c>
      <c r="K85" s="109"/>
      <c r="L85" s="109"/>
      <c r="M85" s="110"/>
      <c r="N85" s="110"/>
      <c r="O85" s="110"/>
      <c r="P85" s="110"/>
      <c r="Q85" s="110"/>
      <c r="R85" s="109"/>
      <c r="S85" s="109"/>
      <c r="T85" s="110"/>
      <c r="U85" s="110"/>
      <c r="V85" s="110"/>
      <c r="W85" s="110"/>
      <c r="X85" s="110"/>
      <c r="Y85" s="109"/>
      <c r="Z85" s="109"/>
      <c r="AA85" s="110"/>
      <c r="AB85" s="110"/>
      <c r="AC85" s="110"/>
      <c r="AD85" s="110"/>
      <c r="AE85" s="110"/>
      <c r="AF85" s="109"/>
      <c r="AG85" s="109"/>
      <c r="AH85" s="110"/>
      <c r="AI85" s="110"/>
      <c r="AJ85" s="110"/>
      <c r="AK85" s="110"/>
      <c r="AL85" s="110"/>
      <c r="AM85" s="109"/>
      <c r="AN85" s="109"/>
      <c r="AO85" s="110"/>
      <c r="AP85" s="110"/>
      <c r="AQ85" s="110"/>
      <c r="AR85" s="110"/>
      <c r="AS85" s="110"/>
      <c r="AT85" s="109"/>
      <c r="AU85" s="109"/>
      <c r="AV85" s="110"/>
      <c r="AW85" s="110"/>
      <c r="AX85" s="110"/>
      <c r="AY85" s="110"/>
      <c r="AZ85" s="110"/>
      <c r="BA85" s="109"/>
      <c r="BB85" s="109"/>
      <c r="BC85" s="110"/>
      <c r="BD85" s="110"/>
      <c r="BE85" s="110"/>
      <c r="BF85" s="110"/>
      <c r="BG85" s="110"/>
      <c r="BH85" s="109"/>
      <c r="BI85" s="109"/>
      <c r="BJ85" s="110"/>
      <c r="BK85" s="110"/>
      <c r="BL85" s="110"/>
      <c r="BM85" s="122"/>
      <c r="BN85" s="122"/>
      <c r="BO85" s="122"/>
      <c r="BP85" s="122"/>
      <c r="BQ85" s="122"/>
      <c r="BR85" s="122"/>
      <c r="BS85" s="122"/>
      <c r="BT85" s="110"/>
      <c r="BU85" s="110"/>
      <c r="BV85" s="109"/>
      <c r="BW85" s="109"/>
      <c r="BX85" s="110"/>
      <c r="BY85" s="110"/>
      <c r="BZ85" s="110"/>
      <c r="CA85" s="110"/>
      <c r="CB85" s="110"/>
    </row>
    <row r="86" ht="30.0" customHeight="1">
      <c r="A86" s="44"/>
      <c r="B86" s="113" t="s">
        <v>407</v>
      </c>
      <c r="C86" s="126" t="s">
        <v>408</v>
      </c>
      <c r="D86" s="121" t="s">
        <v>277</v>
      </c>
      <c r="E86" s="114" t="s">
        <v>409</v>
      </c>
      <c r="F86" s="116"/>
      <c r="G86" s="117">
        <v>46324.0</v>
      </c>
      <c r="H86" s="117">
        <v>46326.0</v>
      </c>
      <c r="I86" s="118">
        <v>0.0025</v>
      </c>
      <c r="J86" s="119">
        <v>0.0</v>
      </c>
      <c r="K86" s="109"/>
      <c r="L86" s="109"/>
      <c r="M86" s="110"/>
      <c r="N86" s="110"/>
      <c r="O86" s="110"/>
      <c r="P86" s="110"/>
      <c r="Q86" s="110"/>
      <c r="R86" s="109"/>
      <c r="S86" s="109"/>
      <c r="T86" s="110"/>
      <c r="U86" s="110"/>
      <c r="V86" s="110"/>
      <c r="W86" s="110"/>
      <c r="X86" s="110"/>
      <c r="Y86" s="109"/>
      <c r="Z86" s="109"/>
      <c r="AA86" s="110"/>
      <c r="AB86" s="110"/>
      <c r="AC86" s="110"/>
      <c r="AD86" s="110"/>
      <c r="AE86" s="110"/>
      <c r="AF86" s="109"/>
      <c r="AG86" s="109"/>
      <c r="AH86" s="110"/>
      <c r="AI86" s="110"/>
      <c r="AJ86" s="110"/>
      <c r="AK86" s="110"/>
      <c r="AL86" s="110"/>
      <c r="AM86" s="109"/>
      <c r="AN86" s="109"/>
      <c r="AO86" s="110"/>
      <c r="AP86" s="110"/>
      <c r="AQ86" s="110"/>
      <c r="AR86" s="110"/>
      <c r="AS86" s="110"/>
      <c r="AT86" s="109"/>
      <c r="AU86" s="109"/>
      <c r="AV86" s="110"/>
      <c r="AW86" s="110"/>
      <c r="AX86" s="110"/>
      <c r="AY86" s="110"/>
      <c r="AZ86" s="110"/>
      <c r="BA86" s="109"/>
      <c r="BB86" s="109"/>
      <c r="BC86" s="110"/>
      <c r="BD86" s="110"/>
      <c r="BE86" s="110"/>
      <c r="BF86" s="110"/>
      <c r="BG86" s="110"/>
      <c r="BH86" s="109"/>
      <c r="BI86" s="109"/>
      <c r="BJ86" s="110"/>
      <c r="BK86" s="110"/>
      <c r="BL86" s="110"/>
      <c r="BM86" s="110"/>
      <c r="BN86" s="110"/>
      <c r="BO86" s="109"/>
      <c r="BP86" s="109"/>
      <c r="BQ86" s="122"/>
      <c r="BR86" s="122"/>
      <c r="BS86" s="122"/>
      <c r="BT86" s="110"/>
      <c r="BU86" s="110"/>
      <c r="BV86" s="109"/>
      <c r="BW86" s="109"/>
      <c r="BX86" s="110"/>
      <c r="BY86" s="110"/>
      <c r="BZ86" s="110"/>
      <c r="CA86" s="110"/>
      <c r="CB86" s="110"/>
    </row>
    <row r="87" ht="30.0" customHeight="1">
      <c r="A87" s="44"/>
      <c r="B87" s="113" t="s">
        <v>410</v>
      </c>
      <c r="C87" s="114" t="s">
        <v>411</v>
      </c>
      <c r="D87" s="121" t="s">
        <v>277</v>
      </c>
      <c r="E87" s="114" t="s">
        <v>412</v>
      </c>
      <c r="F87" s="116"/>
      <c r="G87" s="117">
        <v>46317.0</v>
      </c>
      <c r="H87" s="117">
        <v>46323.0</v>
      </c>
      <c r="I87" s="118">
        <v>0.0045</v>
      </c>
      <c r="J87" s="119">
        <v>0.0</v>
      </c>
      <c r="K87" s="109"/>
      <c r="L87" s="109"/>
      <c r="M87" s="110"/>
      <c r="N87" s="110"/>
      <c r="O87" s="110"/>
      <c r="P87" s="110"/>
      <c r="Q87" s="110"/>
      <c r="R87" s="109"/>
      <c r="S87" s="109"/>
      <c r="T87" s="110"/>
      <c r="U87" s="110"/>
      <c r="V87" s="110"/>
      <c r="W87" s="110"/>
      <c r="X87" s="110"/>
      <c r="Y87" s="109"/>
      <c r="Z87" s="109"/>
      <c r="AA87" s="110"/>
      <c r="AB87" s="110"/>
      <c r="AC87" s="110"/>
      <c r="AD87" s="110"/>
      <c r="AE87" s="110"/>
      <c r="AF87" s="109"/>
      <c r="AG87" s="109"/>
      <c r="AH87" s="110"/>
      <c r="AI87" s="110"/>
      <c r="AJ87" s="110"/>
      <c r="AK87" s="110"/>
      <c r="AL87" s="110"/>
      <c r="AM87" s="109"/>
      <c r="AN87" s="109"/>
      <c r="AO87" s="110"/>
      <c r="AP87" s="110"/>
      <c r="AQ87" s="110"/>
      <c r="AR87" s="110"/>
      <c r="AS87" s="110"/>
      <c r="AT87" s="109"/>
      <c r="AU87" s="109"/>
      <c r="AV87" s="110"/>
      <c r="AW87" s="110"/>
      <c r="AX87" s="110"/>
      <c r="AY87" s="110"/>
      <c r="AZ87" s="110"/>
      <c r="BA87" s="109"/>
      <c r="BB87" s="109"/>
      <c r="BC87" s="110"/>
      <c r="BD87" s="110"/>
      <c r="BE87" s="110"/>
      <c r="BF87" s="110"/>
      <c r="BG87" s="110"/>
      <c r="BH87" s="109"/>
      <c r="BI87" s="109"/>
      <c r="BJ87" s="110"/>
      <c r="BK87" s="110"/>
      <c r="BL87" s="110"/>
      <c r="BM87" s="122"/>
      <c r="BN87" s="122"/>
      <c r="BO87" s="122"/>
      <c r="BP87" s="122"/>
      <c r="BQ87" s="122"/>
      <c r="BR87" s="122"/>
      <c r="BS87" s="122"/>
      <c r="BT87" s="110"/>
      <c r="BU87" s="110"/>
      <c r="BV87" s="109"/>
      <c r="BW87" s="109"/>
      <c r="BX87" s="110"/>
      <c r="BY87" s="110"/>
      <c r="BZ87" s="110"/>
      <c r="CA87" s="110"/>
      <c r="CB87" s="110"/>
    </row>
    <row r="88" ht="30.0" customHeight="1">
      <c r="A88" s="44"/>
      <c r="B88" s="113" t="s">
        <v>413</v>
      </c>
      <c r="C88" s="114" t="s">
        <v>414</v>
      </c>
      <c r="D88" s="121" t="s">
        <v>277</v>
      </c>
      <c r="E88" s="114" t="s">
        <v>415</v>
      </c>
      <c r="F88" s="116"/>
      <c r="G88" s="117">
        <v>46317.0</v>
      </c>
      <c r="H88" s="117">
        <v>46323.0</v>
      </c>
      <c r="I88" s="118">
        <v>0.006</v>
      </c>
      <c r="J88" s="119">
        <v>0.0</v>
      </c>
      <c r="K88" s="109"/>
      <c r="L88" s="109"/>
      <c r="M88" s="110"/>
      <c r="N88" s="110"/>
      <c r="O88" s="110"/>
      <c r="P88" s="110"/>
      <c r="Q88" s="110"/>
      <c r="R88" s="109"/>
      <c r="S88" s="109"/>
      <c r="T88" s="110"/>
      <c r="U88" s="110"/>
      <c r="V88" s="110"/>
      <c r="W88" s="110"/>
      <c r="X88" s="110"/>
      <c r="Y88" s="109"/>
      <c r="Z88" s="109"/>
      <c r="AA88" s="110"/>
      <c r="AB88" s="110"/>
      <c r="AC88" s="110"/>
      <c r="AD88" s="110"/>
      <c r="AE88" s="110"/>
      <c r="AF88" s="109"/>
      <c r="AG88" s="109"/>
      <c r="AH88" s="110"/>
      <c r="AI88" s="110"/>
      <c r="AJ88" s="110"/>
      <c r="AK88" s="110"/>
      <c r="AL88" s="110"/>
      <c r="AM88" s="109"/>
      <c r="AN88" s="109"/>
      <c r="AO88" s="110"/>
      <c r="AP88" s="110"/>
      <c r="AQ88" s="110"/>
      <c r="AR88" s="110"/>
      <c r="AS88" s="110"/>
      <c r="AT88" s="109"/>
      <c r="AU88" s="109"/>
      <c r="AV88" s="110"/>
      <c r="AW88" s="110"/>
      <c r="AX88" s="110"/>
      <c r="AY88" s="110"/>
      <c r="AZ88" s="110"/>
      <c r="BA88" s="109"/>
      <c r="BB88" s="109"/>
      <c r="BC88" s="110"/>
      <c r="BD88" s="110"/>
      <c r="BE88" s="110"/>
      <c r="BF88" s="110"/>
      <c r="BG88" s="110"/>
      <c r="BH88" s="109"/>
      <c r="BI88" s="109"/>
      <c r="BJ88" s="110"/>
      <c r="BK88" s="110"/>
      <c r="BL88" s="110"/>
      <c r="BM88" s="122"/>
      <c r="BN88" s="122"/>
      <c r="BO88" s="122"/>
      <c r="BP88" s="122"/>
      <c r="BQ88" s="122"/>
      <c r="BR88" s="122"/>
      <c r="BS88" s="110"/>
      <c r="BT88" s="110"/>
      <c r="BU88" s="110"/>
      <c r="BV88" s="109"/>
      <c r="BW88" s="109"/>
      <c r="BX88" s="110"/>
      <c r="BY88" s="110"/>
      <c r="BZ88" s="110"/>
      <c r="CA88" s="110"/>
      <c r="CB88" s="110"/>
    </row>
    <row r="89" ht="30.0" customHeight="1">
      <c r="A89" s="44"/>
      <c r="B89" s="113" t="s">
        <v>416</v>
      </c>
      <c r="C89" s="114" t="s">
        <v>417</v>
      </c>
      <c r="D89" s="121" t="s">
        <v>277</v>
      </c>
      <c r="E89" s="114" t="s">
        <v>418</v>
      </c>
      <c r="F89" s="116"/>
      <c r="G89" s="117">
        <v>46326.0</v>
      </c>
      <c r="H89" s="117">
        <v>46328.0</v>
      </c>
      <c r="I89" s="118">
        <v>0.004</v>
      </c>
      <c r="J89" s="119">
        <v>0.0</v>
      </c>
      <c r="K89" s="109"/>
      <c r="L89" s="109"/>
      <c r="M89" s="110"/>
      <c r="N89" s="110"/>
      <c r="O89" s="110"/>
      <c r="P89" s="110"/>
      <c r="Q89" s="110"/>
      <c r="R89" s="109"/>
      <c r="S89" s="109"/>
      <c r="T89" s="110"/>
      <c r="U89" s="110"/>
      <c r="V89" s="110"/>
      <c r="W89" s="110"/>
      <c r="X89" s="110"/>
      <c r="Y89" s="109"/>
      <c r="Z89" s="109"/>
      <c r="AA89" s="110"/>
      <c r="AB89" s="110"/>
      <c r="AC89" s="110"/>
      <c r="AD89" s="110"/>
      <c r="AE89" s="110"/>
      <c r="AF89" s="109"/>
      <c r="AG89" s="109"/>
      <c r="AH89" s="110"/>
      <c r="AI89" s="110"/>
      <c r="AJ89" s="110"/>
      <c r="AK89" s="110"/>
      <c r="AL89" s="110"/>
      <c r="AM89" s="109"/>
      <c r="AN89" s="109"/>
      <c r="AO89" s="110"/>
      <c r="AP89" s="110"/>
      <c r="AQ89" s="110"/>
      <c r="AR89" s="110"/>
      <c r="AS89" s="110"/>
      <c r="AT89" s="109"/>
      <c r="AU89" s="109"/>
      <c r="AV89" s="110"/>
      <c r="AW89" s="110"/>
      <c r="AX89" s="110"/>
      <c r="AY89" s="110"/>
      <c r="AZ89" s="110"/>
      <c r="BA89" s="109"/>
      <c r="BB89" s="109"/>
      <c r="BC89" s="110"/>
      <c r="BD89" s="110"/>
      <c r="BE89" s="110"/>
      <c r="BF89" s="110"/>
      <c r="BG89" s="110"/>
      <c r="BH89" s="109"/>
      <c r="BI89" s="109"/>
      <c r="BJ89" s="110"/>
      <c r="BK89" s="110"/>
      <c r="BL89" s="110"/>
      <c r="BM89" s="110"/>
      <c r="BN89" s="110"/>
      <c r="BO89" s="109"/>
      <c r="BP89" s="109"/>
      <c r="BQ89" s="110"/>
      <c r="BR89" s="122"/>
      <c r="BS89" s="122"/>
      <c r="BT89" s="122"/>
      <c r="BU89" s="110"/>
      <c r="BV89" s="109"/>
      <c r="BW89" s="109"/>
      <c r="BX89" s="110"/>
      <c r="BY89" s="110"/>
      <c r="BZ89" s="110"/>
      <c r="CA89" s="110"/>
      <c r="CB89" s="110"/>
    </row>
    <row r="90" ht="30.0" customHeight="1">
      <c r="A90" s="105"/>
      <c r="B90" s="103" t="s">
        <v>419</v>
      </c>
      <c r="C90" s="104" t="s">
        <v>420</v>
      </c>
      <c r="D90" s="104"/>
      <c r="E90" s="104" t="s">
        <v>39</v>
      </c>
      <c r="F90" s="104"/>
      <c r="G90" s="106">
        <f>MIN(G91:G100)</f>
        <v>46311</v>
      </c>
      <c r="H90" s="106">
        <f>MAX(H91:H100)</f>
        <v>46328</v>
      </c>
      <c r="I90" s="107">
        <f>SUM(I91:I100)</f>
        <v>0.04</v>
      </c>
      <c r="J90" s="108">
        <f>IFERROR((I91*J91+I92*J92+I93*J93+I94*J94+I95*J95+I96*J96+I97*J97+I98*J98+I99*J99+I100*J100)/SUM(I91:I100),0)</f>
        <v>0</v>
      </c>
      <c r="K90" s="109"/>
      <c r="L90" s="109"/>
      <c r="M90" s="110"/>
      <c r="N90" s="110"/>
      <c r="O90" s="110"/>
      <c r="P90" s="110"/>
      <c r="Q90" s="110"/>
      <c r="R90" s="109"/>
      <c r="S90" s="109"/>
      <c r="T90" s="110"/>
      <c r="U90" s="110"/>
      <c r="V90" s="110"/>
      <c r="W90" s="110"/>
      <c r="X90" s="110"/>
      <c r="Y90" s="109"/>
      <c r="Z90" s="109"/>
      <c r="AA90" s="110"/>
      <c r="AB90" s="110"/>
      <c r="AC90" s="110"/>
      <c r="AD90" s="110"/>
      <c r="AE90" s="110"/>
      <c r="AF90" s="109"/>
      <c r="AG90" s="109"/>
      <c r="AH90" s="110"/>
      <c r="AI90" s="110"/>
      <c r="AJ90" s="110"/>
      <c r="AK90" s="110"/>
      <c r="AL90" s="110"/>
      <c r="AM90" s="109"/>
      <c r="AN90" s="109"/>
      <c r="AO90" s="110"/>
      <c r="AP90" s="110"/>
      <c r="AQ90" s="110"/>
      <c r="AR90" s="110"/>
      <c r="AS90" s="110"/>
      <c r="AT90" s="109"/>
      <c r="AU90" s="109"/>
      <c r="AV90" s="110"/>
      <c r="AW90" s="110"/>
      <c r="AX90" s="110"/>
      <c r="AY90" s="110"/>
      <c r="AZ90" s="110"/>
      <c r="BA90" s="109"/>
      <c r="BB90" s="109"/>
      <c r="BC90" s="110"/>
      <c r="BD90" s="110"/>
      <c r="BE90" s="110"/>
      <c r="BF90" s="110"/>
      <c r="BG90" s="112"/>
      <c r="BH90" s="112"/>
      <c r="BI90" s="112"/>
      <c r="BJ90" s="112"/>
      <c r="BK90" s="112"/>
      <c r="BL90" s="112"/>
      <c r="BM90" s="112"/>
      <c r="BN90" s="112"/>
      <c r="BO90" s="112"/>
      <c r="BP90" s="112"/>
      <c r="BQ90" s="112"/>
      <c r="BR90" s="112"/>
      <c r="BS90" s="112"/>
      <c r="BT90" s="112"/>
      <c r="BU90" s="112"/>
      <c r="BV90" s="109"/>
      <c r="BW90" s="109"/>
      <c r="BX90" s="110"/>
      <c r="BY90" s="110"/>
      <c r="BZ90" s="110"/>
      <c r="CA90" s="110"/>
      <c r="CB90" s="110"/>
    </row>
    <row r="91" ht="30.0" customHeight="1">
      <c r="A91" s="44"/>
      <c r="B91" s="113" t="s">
        <v>421</v>
      </c>
      <c r="C91" s="114" t="s">
        <v>422</v>
      </c>
      <c r="D91" s="121" t="s">
        <v>277</v>
      </c>
      <c r="E91" s="114" t="s">
        <v>423</v>
      </c>
      <c r="F91" s="116"/>
      <c r="G91" s="117">
        <v>46318.0</v>
      </c>
      <c r="H91" s="117">
        <v>46324.0</v>
      </c>
      <c r="I91" s="118">
        <v>0.0065</v>
      </c>
      <c r="J91" s="119">
        <v>0.0</v>
      </c>
      <c r="K91" s="109"/>
      <c r="L91" s="109"/>
      <c r="M91" s="110"/>
      <c r="N91" s="110"/>
      <c r="O91" s="110"/>
      <c r="P91" s="110"/>
      <c r="Q91" s="110"/>
      <c r="R91" s="109"/>
      <c r="S91" s="109"/>
      <c r="T91" s="110"/>
      <c r="U91" s="110"/>
      <c r="V91" s="110"/>
      <c r="W91" s="110"/>
      <c r="X91" s="110"/>
      <c r="Y91" s="109"/>
      <c r="Z91" s="109"/>
      <c r="AA91" s="110"/>
      <c r="AB91" s="110"/>
      <c r="AC91" s="110"/>
      <c r="AD91" s="110"/>
      <c r="AE91" s="110"/>
      <c r="AF91" s="109"/>
      <c r="AG91" s="109"/>
      <c r="AH91" s="110"/>
      <c r="AI91" s="110"/>
      <c r="AJ91" s="110"/>
      <c r="AK91" s="110"/>
      <c r="AL91" s="110"/>
      <c r="AM91" s="109"/>
      <c r="AN91" s="109"/>
      <c r="AO91" s="110"/>
      <c r="AP91" s="110"/>
      <c r="AQ91" s="110"/>
      <c r="AR91" s="110"/>
      <c r="AS91" s="110"/>
      <c r="AT91" s="109"/>
      <c r="AU91" s="109"/>
      <c r="AV91" s="110"/>
      <c r="AW91" s="110"/>
      <c r="AX91" s="110"/>
      <c r="AY91" s="110"/>
      <c r="AZ91" s="110"/>
      <c r="BA91" s="109"/>
      <c r="BB91" s="109"/>
      <c r="BC91" s="110"/>
      <c r="BD91" s="110"/>
      <c r="BE91" s="110"/>
      <c r="BF91" s="110"/>
      <c r="BG91" s="110"/>
      <c r="BH91" s="109"/>
      <c r="BI91" s="109"/>
      <c r="BJ91" s="127"/>
      <c r="BK91" s="127"/>
      <c r="BL91" s="127"/>
      <c r="BM91" s="127"/>
      <c r="BN91" s="127"/>
      <c r="BO91" s="127"/>
      <c r="BP91" s="127"/>
      <c r="BQ91" s="127"/>
      <c r="BR91" s="127"/>
      <c r="BS91" s="110"/>
      <c r="BT91" s="110"/>
      <c r="BU91" s="110"/>
      <c r="BV91" s="109"/>
      <c r="BW91" s="109"/>
      <c r="BX91" s="110"/>
      <c r="BY91" s="110"/>
      <c r="BZ91" s="110"/>
      <c r="CA91" s="110"/>
      <c r="CB91" s="110"/>
    </row>
    <row r="92" ht="30.0" customHeight="1">
      <c r="A92" s="44"/>
      <c r="B92" s="113" t="s">
        <v>424</v>
      </c>
      <c r="C92" s="114" t="s">
        <v>425</v>
      </c>
      <c r="D92" s="121" t="s">
        <v>277</v>
      </c>
      <c r="E92" s="114" t="s">
        <v>426</v>
      </c>
      <c r="F92" s="116"/>
      <c r="G92" s="117">
        <v>46318.0</v>
      </c>
      <c r="H92" s="117">
        <v>46324.0</v>
      </c>
      <c r="I92" s="118">
        <v>0.0065</v>
      </c>
      <c r="J92" s="119">
        <v>0.0</v>
      </c>
      <c r="K92" s="109"/>
      <c r="L92" s="109"/>
      <c r="M92" s="110"/>
      <c r="N92" s="110"/>
      <c r="O92" s="110"/>
      <c r="P92" s="110"/>
      <c r="Q92" s="110"/>
      <c r="R92" s="109"/>
      <c r="S92" s="109"/>
      <c r="T92" s="110"/>
      <c r="U92" s="110"/>
      <c r="V92" s="110"/>
      <c r="W92" s="110"/>
      <c r="X92" s="110"/>
      <c r="Y92" s="109"/>
      <c r="Z92" s="109"/>
      <c r="AA92" s="110"/>
      <c r="AB92" s="110"/>
      <c r="AC92" s="110"/>
      <c r="AD92" s="110"/>
      <c r="AE92" s="110"/>
      <c r="AF92" s="109"/>
      <c r="AG92" s="109"/>
      <c r="AH92" s="110"/>
      <c r="AI92" s="110"/>
      <c r="AJ92" s="110"/>
      <c r="AK92" s="110"/>
      <c r="AL92" s="110"/>
      <c r="AM92" s="109"/>
      <c r="AN92" s="109"/>
      <c r="AO92" s="110"/>
      <c r="AP92" s="110"/>
      <c r="AQ92" s="110"/>
      <c r="AR92" s="110"/>
      <c r="AS92" s="110"/>
      <c r="AT92" s="109"/>
      <c r="AU92" s="109"/>
      <c r="AV92" s="110"/>
      <c r="AW92" s="110"/>
      <c r="AX92" s="110"/>
      <c r="AY92" s="110"/>
      <c r="AZ92" s="110"/>
      <c r="BA92" s="109"/>
      <c r="BB92" s="109"/>
      <c r="BC92" s="110"/>
      <c r="BD92" s="110"/>
      <c r="BE92" s="110"/>
      <c r="BF92" s="110"/>
      <c r="BG92" s="110"/>
      <c r="BH92" s="109"/>
      <c r="BI92" s="109"/>
      <c r="BJ92" s="110"/>
      <c r="BK92" s="127"/>
      <c r="BL92" s="127"/>
      <c r="BM92" s="127"/>
      <c r="BN92" s="127"/>
      <c r="BO92" s="127"/>
      <c r="BP92" s="127"/>
      <c r="BQ92" s="127"/>
      <c r="BR92" s="127"/>
      <c r="BS92" s="127"/>
      <c r="BT92" s="110"/>
      <c r="BU92" s="110"/>
      <c r="BV92" s="109"/>
      <c r="BW92" s="109"/>
      <c r="BX92" s="110"/>
      <c r="BY92" s="110"/>
      <c r="BZ92" s="110"/>
      <c r="CA92" s="110"/>
      <c r="CB92" s="110"/>
    </row>
    <row r="93" ht="30.0" customHeight="1">
      <c r="A93" s="44"/>
      <c r="B93" s="113" t="s">
        <v>427</v>
      </c>
      <c r="C93" s="114" t="s">
        <v>428</v>
      </c>
      <c r="D93" s="121" t="s">
        <v>277</v>
      </c>
      <c r="E93" s="114" t="s">
        <v>429</v>
      </c>
      <c r="F93" s="116"/>
      <c r="G93" s="117">
        <v>46311.0</v>
      </c>
      <c r="H93" s="117">
        <v>46318.0</v>
      </c>
      <c r="I93" s="118">
        <v>0.008</v>
      </c>
      <c r="J93" s="119">
        <v>0.0</v>
      </c>
      <c r="K93" s="109"/>
      <c r="L93" s="109"/>
      <c r="M93" s="110"/>
      <c r="N93" s="110"/>
      <c r="O93" s="110"/>
      <c r="P93" s="110"/>
      <c r="Q93" s="110"/>
      <c r="R93" s="109"/>
      <c r="S93" s="109"/>
      <c r="T93" s="110"/>
      <c r="U93" s="110"/>
      <c r="V93" s="110"/>
      <c r="W93" s="110"/>
      <c r="X93" s="110"/>
      <c r="Y93" s="109"/>
      <c r="Z93" s="109"/>
      <c r="AA93" s="110"/>
      <c r="AB93" s="110"/>
      <c r="AC93" s="110"/>
      <c r="AD93" s="110"/>
      <c r="AE93" s="110"/>
      <c r="AF93" s="109"/>
      <c r="AG93" s="109"/>
      <c r="AH93" s="110"/>
      <c r="AI93" s="110"/>
      <c r="AJ93" s="110"/>
      <c r="AK93" s="110"/>
      <c r="AL93" s="110"/>
      <c r="AM93" s="109"/>
      <c r="AN93" s="109"/>
      <c r="AO93" s="110"/>
      <c r="AP93" s="110"/>
      <c r="AQ93" s="110"/>
      <c r="AR93" s="110"/>
      <c r="AS93" s="110"/>
      <c r="AT93" s="109"/>
      <c r="AU93" s="109"/>
      <c r="AV93" s="110"/>
      <c r="AW93" s="110"/>
      <c r="AX93" s="110"/>
      <c r="AY93" s="110"/>
      <c r="AZ93" s="110"/>
      <c r="BA93" s="109"/>
      <c r="BB93" s="109"/>
      <c r="BC93" s="110"/>
      <c r="BD93" s="110"/>
      <c r="BE93" s="110"/>
      <c r="BF93" s="110"/>
      <c r="BG93" s="127"/>
      <c r="BH93" s="127"/>
      <c r="BI93" s="127"/>
      <c r="BJ93" s="127"/>
      <c r="BK93" s="127"/>
      <c r="BL93" s="127"/>
      <c r="BM93" s="127"/>
      <c r="BN93" s="127"/>
      <c r="BO93" s="109"/>
      <c r="BP93" s="109"/>
      <c r="BQ93" s="110"/>
      <c r="BR93" s="110"/>
      <c r="BS93" s="110"/>
      <c r="BT93" s="110"/>
      <c r="BU93" s="110"/>
      <c r="BV93" s="109"/>
      <c r="BW93" s="109"/>
      <c r="BX93" s="110"/>
      <c r="BY93" s="110"/>
      <c r="BZ93" s="110"/>
      <c r="CA93" s="110"/>
      <c r="CB93" s="110"/>
    </row>
    <row r="94" ht="30.0" customHeight="1">
      <c r="A94" s="44"/>
      <c r="B94" s="113" t="s">
        <v>430</v>
      </c>
      <c r="C94" s="114" t="s">
        <v>431</v>
      </c>
      <c r="D94" s="121" t="s">
        <v>277</v>
      </c>
      <c r="E94" s="114" t="s">
        <v>432</v>
      </c>
      <c r="F94" s="116"/>
      <c r="G94" s="117">
        <v>46315.0</v>
      </c>
      <c r="H94" s="117">
        <v>46318.0</v>
      </c>
      <c r="I94" s="118">
        <v>0.004</v>
      </c>
      <c r="J94" s="119">
        <v>0.0</v>
      </c>
      <c r="K94" s="109"/>
      <c r="L94" s="109"/>
      <c r="M94" s="110"/>
      <c r="N94" s="110"/>
      <c r="O94" s="110"/>
      <c r="P94" s="110"/>
      <c r="Q94" s="110"/>
      <c r="R94" s="109"/>
      <c r="S94" s="109"/>
      <c r="T94" s="110"/>
      <c r="U94" s="110"/>
      <c r="V94" s="110"/>
      <c r="W94" s="110"/>
      <c r="X94" s="110"/>
      <c r="Y94" s="109"/>
      <c r="Z94" s="109"/>
      <c r="AA94" s="110"/>
      <c r="AB94" s="110"/>
      <c r="AC94" s="110"/>
      <c r="AD94" s="110"/>
      <c r="AE94" s="110"/>
      <c r="AF94" s="109"/>
      <c r="AG94" s="109"/>
      <c r="AH94" s="110"/>
      <c r="AI94" s="110"/>
      <c r="AJ94" s="110"/>
      <c r="AK94" s="110"/>
      <c r="AL94" s="110"/>
      <c r="AM94" s="109"/>
      <c r="AN94" s="109"/>
      <c r="AO94" s="110"/>
      <c r="AP94" s="110"/>
      <c r="AQ94" s="110"/>
      <c r="AR94" s="110"/>
      <c r="AS94" s="110"/>
      <c r="AT94" s="109"/>
      <c r="AU94" s="109"/>
      <c r="AV94" s="110"/>
      <c r="AW94" s="110"/>
      <c r="AX94" s="110"/>
      <c r="AY94" s="110"/>
      <c r="AZ94" s="110"/>
      <c r="BA94" s="109"/>
      <c r="BB94" s="109"/>
      <c r="BC94" s="110"/>
      <c r="BD94" s="110"/>
      <c r="BE94" s="110"/>
      <c r="BF94" s="110"/>
      <c r="BG94" s="110"/>
      <c r="BH94" s="109"/>
      <c r="BI94" s="109"/>
      <c r="BJ94" s="127"/>
      <c r="BK94" s="127"/>
      <c r="BL94" s="127"/>
      <c r="BM94" s="127"/>
      <c r="BN94" s="127"/>
      <c r="BO94" s="109"/>
      <c r="BP94" s="109"/>
      <c r="BQ94" s="110"/>
      <c r="BR94" s="110"/>
      <c r="BS94" s="110"/>
      <c r="BT94" s="110"/>
      <c r="BU94" s="110"/>
      <c r="BV94" s="109"/>
      <c r="BW94" s="109"/>
      <c r="BX94" s="110"/>
      <c r="BY94" s="110"/>
      <c r="BZ94" s="110"/>
      <c r="CA94" s="110"/>
      <c r="CB94" s="110"/>
    </row>
    <row r="95" ht="30.0" customHeight="1">
      <c r="A95" s="44"/>
      <c r="B95" s="113" t="s">
        <v>433</v>
      </c>
      <c r="C95" s="114" t="s">
        <v>434</v>
      </c>
      <c r="D95" s="121" t="s">
        <v>277</v>
      </c>
      <c r="E95" s="114" t="s">
        <v>435</v>
      </c>
      <c r="F95" s="116"/>
      <c r="G95" s="117">
        <v>46321.0</v>
      </c>
      <c r="H95" s="117">
        <v>46325.0</v>
      </c>
      <c r="I95" s="118">
        <v>0.0055</v>
      </c>
      <c r="J95" s="119">
        <v>0.0</v>
      </c>
      <c r="K95" s="109"/>
      <c r="L95" s="109"/>
      <c r="M95" s="110"/>
      <c r="N95" s="110"/>
      <c r="O95" s="110"/>
      <c r="P95" s="110"/>
      <c r="Q95" s="110"/>
      <c r="R95" s="109"/>
      <c r="S95" s="109"/>
      <c r="T95" s="110"/>
      <c r="U95" s="110"/>
      <c r="V95" s="110"/>
      <c r="W95" s="110"/>
      <c r="X95" s="110"/>
      <c r="Y95" s="109"/>
      <c r="Z95" s="109"/>
      <c r="AA95" s="110"/>
      <c r="AB95" s="110"/>
      <c r="AC95" s="110"/>
      <c r="AD95" s="110"/>
      <c r="AE95" s="110"/>
      <c r="AF95" s="109"/>
      <c r="AG95" s="109"/>
      <c r="AH95" s="110"/>
      <c r="AI95" s="110"/>
      <c r="AJ95" s="110"/>
      <c r="AK95" s="110"/>
      <c r="AL95" s="110"/>
      <c r="AM95" s="109"/>
      <c r="AN95" s="109"/>
      <c r="AO95" s="110"/>
      <c r="AP95" s="110"/>
      <c r="AQ95" s="110"/>
      <c r="AR95" s="110"/>
      <c r="AS95" s="110"/>
      <c r="AT95" s="109"/>
      <c r="AU95" s="109"/>
      <c r="AV95" s="110"/>
      <c r="AW95" s="110"/>
      <c r="AX95" s="110"/>
      <c r="AY95" s="110"/>
      <c r="AZ95" s="110"/>
      <c r="BA95" s="109"/>
      <c r="BB95" s="109"/>
      <c r="BC95" s="110"/>
      <c r="BD95" s="110"/>
      <c r="BE95" s="110"/>
      <c r="BF95" s="110"/>
      <c r="BG95" s="110"/>
      <c r="BH95" s="109"/>
      <c r="BI95" s="109"/>
      <c r="BJ95" s="110"/>
      <c r="BK95" s="110"/>
      <c r="BL95" s="110"/>
      <c r="BM95" s="127"/>
      <c r="BN95" s="127"/>
      <c r="BO95" s="127"/>
      <c r="BP95" s="127"/>
      <c r="BQ95" s="127"/>
      <c r="BR95" s="127"/>
      <c r="BS95" s="110"/>
      <c r="BT95" s="110"/>
      <c r="BU95" s="110"/>
      <c r="BV95" s="109"/>
      <c r="BW95" s="109"/>
      <c r="BX95" s="110"/>
      <c r="BY95" s="110"/>
      <c r="BZ95" s="110"/>
      <c r="CA95" s="110"/>
      <c r="CB95" s="110"/>
    </row>
    <row r="96" ht="30.0" customHeight="1">
      <c r="A96" s="44"/>
      <c r="B96" s="113" t="s">
        <v>436</v>
      </c>
      <c r="C96" s="126" t="s">
        <v>437</v>
      </c>
      <c r="D96" s="121" t="s">
        <v>277</v>
      </c>
      <c r="E96" s="126" t="s">
        <v>438</v>
      </c>
      <c r="F96" s="116"/>
      <c r="G96" s="117">
        <v>46324.0</v>
      </c>
      <c r="H96" s="117">
        <v>46328.0</v>
      </c>
      <c r="I96" s="118">
        <v>0.0035</v>
      </c>
      <c r="J96" s="119">
        <v>0.0</v>
      </c>
      <c r="K96" s="109"/>
      <c r="L96" s="109"/>
      <c r="M96" s="110"/>
      <c r="N96" s="110"/>
      <c r="O96" s="110"/>
      <c r="P96" s="110"/>
      <c r="Q96" s="110"/>
      <c r="R96" s="109"/>
      <c r="S96" s="109"/>
      <c r="T96" s="110"/>
      <c r="U96" s="110"/>
      <c r="V96" s="110"/>
      <c r="W96" s="110"/>
      <c r="X96" s="110"/>
      <c r="Y96" s="109"/>
      <c r="Z96" s="109"/>
      <c r="AA96" s="110"/>
      <c r="AB96" s="110"/>
      <c r="AC96" s="110"/>
      <c r="AD96" s="110"/>
      <c r="AE96" s="110"/>
      <c r="AF96" s="109"/>
      <c r="AG96" s="109"/>
      <c r="AH96" s="110"/>
      <c r="AI96" s="110"/>
      <c r="AJ96" s="110"/>
      <c r="AK96" s="110"/>
      <c r="AL96" s="110"/>
      <c r="AM96" s="109"/>
      <c r="AN96" s="109"/>
      <c r="AO96" s="110"/>
      <c r="AP96" s="110"/>
      <c r="AQ96" s="110"/>
      <c r="AR96" s="110"/>
      <c r="AS96" s="110"/>
      <c r="AT96" s="109"/>
      <c r="AU96" s="109"/>
      <c r="AV96" s="110"/>
      <c r="AW96" s="110"/>
      <c r="AX96" s="110"/>
      <c r="AY96" s="110"/>
      <c r="AZ96" s="110"/>
      <c r="BA96" s="109"/>
      <c r="BB96" s="109"/>
      <c r="BC96" s="110"/>
      <c r="BD96" s="110"/>
      <c r="BE96" s="110"/>
      <c r="BF96" s="110"/>
      <c r="BG96" s="110"/>
      <c r="BH96" s="109"/>
      <c r="BI96" s="109"/>
      <c r="BJ96" s="110"/>
      <c r="BK96" s="110"/>
      <c r="BL96" s="110"/>
      <c r="BM96" s="110"/>
      <c r="BN96" s="110"/>
      <c r="BO96" s="109"/>
      <c r="BP96" s="109"/>
      <c r="BQ96" s="127"/>
      <c r="BR96" s="127"/>
      <c r="BS96" s="127"/>
      <c r="BT96" s="110"/>
      <c r="BU96" s="110"/>
      <c r="BV96" s="109"/>
      <c r="BW96" s="109"/>
      <c r="BX96" s="110"/>
      <c r="BY96" s="110"/>
      <c r="BZ96" s="110"/>
      <c r="CA96" s="110"/>
      <c r="CB96" s="110"/>
    </row>
    <row r="97" ht="30.0" customHeight="1">
      <c r="A97" s="44"/>
      <c r="B97" s="113" t="s">
        <v>439</v>
      </c>
      <c r="C97" s="114" t="s">
        <v>440</v>
      </c>
      <c r="D97" s="121" t="s">
        <v>277</v>
      </c>
      <c r="E97" s="114" t="s">
        <v>441</v>
      </c>
      <c r="F97" s="116"/>
      <c r="G97" s="117">
        <v>46321.0</v>
      </c>
      <c r="H97" s="117">
        <v>46323.0</v>
      </c>
      <c r="I97" s="118">
        <v>0.0035</v>
      </c>
      <c r="J97" s="119">
        <v>0.0</v>
      </c>
      <c r="K97" s="109"/>
      <c r="L97" s="109"/>
      <c r="M97" s="110"/>
      <c r="N97" s="110"/>
      <c r="O97" s="110"/>
      <c r="P97" s="110"/>
      <c r="Q97" s="110"/>
      <c r="R97" s="109"/>
      <c r="S97" s="109"/>
      <c r="T97" s="110"/>
      <c r="U97" s="110"/>
      <c r="V97" s="110"/>
      <c r="W97" s="110"/>
      <c r="X97" s="110"/>
      <c r="Y97" s="109"/>
      <c r="Z97" s="109"/>
      <c r="AA97" s="110"/>
      <c r="AB97" s="110"/>
      <c r="AC97" s="110"/>
      <c r="AD97" s="110"/>
      <c r="AE97" s="110"/>
      <c r="AF97" s="109"/>
      <c r="AG97" s="109"/>
      <c r="AH97" s="110"/>
      <c r="AI97" s="110"/>
      <c r="AJ97" s="110"/>
      <c r="AK97" s="110"/>
      <c r="AL97" s="110"/>
      <c r="AM97" s="109"/>
      <c r="AN97" s="109"/>
      <c r="AO97" s="110"/>
      <c r="AP97" s="110"/>
      <c r="AQ97" s="110"/>
      <c r="AR97" s="110"/>
      <c r="AS97" s="110"/>
      <c r="AT97" s="109"/>
      <c r="AU97" s="109"/>
      <c r="AV97" s="110"/>
      <c r="AW97" s="110"/>
      <c r="AX97" s="110"/>
      <c r="AY97" s="110"/>
      <c r="AZ97" s="110"/>
      <c r="BA97" s="109"/>
      <c r="BB97" s="109"/>
      <c r="BC97" s="110"/>
      <c r="BD97" s="110"/>
      <c r="BE97" s="110"/>
      <c r="BF97" s="110"/>
      <c r="BG97" s="110"/>
      <c r="BH97" s="109"/>
      <c r="BI97" s="109"/>
      <c r="BJ97" s="110"/>
      <c r="BK97" s="110"/>
      <c r="BL97" s="110"/>
      <c r="BM97" s="127"/>
      <c r="BN97" s="127"/>
      <c r="BO97" s="127"/>
      <c r="BP97" s="127"/>
      <c r="BQ97" s="127"/>
      <c r="BR97" s="110"/>
      <c r="BS97" s="110"/>
      <c r="BT97" s="110"/>
      <c r="BU97" s="110"/>
      <c r="BV97" s="109"/>
      <c r="BW97" s="109"/>
      <c r="BX97" s="110"/>
      <c r="BY97" s="110"/>
      <c r="BZ97" s="110"/>
      <c r="CA97" s="110"/>
      <c r="CB97" s="110"/>
    </row>
    <row r="98" ht="30.0" customHeight="1">
      <c r="A98" s="44"/>
      <c r="B98" s="113" t="s">
        <v>442</v>
      </c>
      <c r="C98" s="114" t="s">
        <v>443</v>
      </c>
      <c r="D98" s="121" t="s">
        <v>277</v>
      </c>
      <c r="E98" s="114" t="s">
        <v>444</v>
      </c>
      <c r="F98" s="116"/>
      <c r="G98" s="117">
        <v>46323.0</v>
      </c>
      <c r="H98" s="117">
        <v>46325.0</v>
      </c>
      <c r="I98" s="118">
        <v>0.0025</v>
      </c>
      <c r="J98" s="119">
        <v>0.0</v>
      </c>
      <c r="K98" s="109"/>
      <c r="L98" s="109"/>
      <c r="M98" s="110"/>
      <c r="N98" s="110"/>
      <c r="O98" s="110"/>
      <c r="P98" s="110"/>
      <c r="Q98" s="110"/>
      <c r="R98" s="109"/>
      <c r="S98" s="109"/>
      <c r="T98" s="110"/>
      <c r="U98" s="110"/>
      <c r="V98" s="110"/>
      <c r="W98" s="110"/>
      <c r="X98" s="110"/>
      <c r="Y98" s="109"/>
      <c r="Z98" s="109"/>
      <c r="AA98" s="110"/>
      <c r="AB98" s="110"/>
      <c r="AC98" s="110"/>
      <c r="AD98" s="110"/>
      <c r="AE98" s="110"/>
      <c r="AF98" s="109"/>
      <c r="AG98" s="109"/>
      <c r="AH98" s="110"/>
      <c r="AI98" s="110"/>
      <c r="AJ98" s="110"/>
      <c r="AK98" s="110"/>
      <c r="AL98" s="110"/>
      <c r="AM98" s="109"/>
      <c r="AN98" s="109"/>
      <c r="AO98" s="110"/>
      <c r="AP98" s="110"/>
      <c r="AQ98" s="110"/>
      <c r="AR98" s="110"/>
      <c r="AS98" s="110"/>
      <c r="AT98" s="109"/>
      <c r="AU98" s="109"/>
      <c r="AV98" s="110"/>
      <c r="AW98" s="110"/>
      <c r="AX98" s="110"/>
      <c r="AY98" s="110"/>
      <c r="AZ98" s="110"/>
      <c r="BA98" s="109"/>
      <c r="BB98" s="109"/>
      <c r="BC98" s="110"/>
      <c r="BD98" s="110"/>
      <c r="BE98" s="110"/>
      <c r="BF98" s="110"/>
      <c r="BG98" s="110"/>
      <c r="BH98" s="109"/>
      <c r="BI98" s="109"/>
      <c r="BJ98" s="110"/>
      <c r="BK98" s="110"/>
      <c r="BL98" s="110"/>
      <c r="BM98" s="127"/>
      <c r="BN98" s="127"/>
      <c r="BO98" s="127"/>
      <c r="BP98" s="127"/>
      <c r="BQ98" s="127"/>
      <c r="BR98" s="127"/>
      <c r="BS98" s="110"/>
      <c r="BT98" s="110"/>
      <c r="BU98" s="110"/>
      <c r="BV98" s="109"/>
      <c r="BW98" s="109"/>
      <c r="BX98" s="110"/>
      <c r="BY98" s="110"/>
      <c r="BZ98" s="110"/>
      <c r="CA98" s="110"/>
      <c r="CB98" s="110"/>
    </row>
    <row r="99" ht="30.0" customHeight="1">
      <c r="A99" s="44"/>
      <c r="B99" s="113" t="s">
        <v>445</v>
      </c>
      <c r="C99" s="126" t="s">
        <v>446</v>
      </c>
      <c r="D99" s="128" t="s">
        <v>447</v>
      </c>
      <c r="E99" s="126" t="s">
        <v>448</v>
      </c>
      <c r="F99" s="116"/>
      <c r="G99" s="129"/>
      <c r="H99" s="129"/>
      <c r="I99" s="118">
        <v>0.0</v>
      </c>
      <c r="J99" s="119">
        <v>0.0</v>
      </c>
      <c r="K99" s="109"/>
      <c r="L99" s="109"/>
      <c r="M99" s="110"/>
      <c r="N99" s="110"/>
      <c r="O99" s="110"/>
      <c r="P99" s="110"/>
      <c r="Q99" s="110"/>
      <c r="R99" s="109"/>
      <c r="S99" s="109"/>
      <c r="T99" s="110"/>
      <c r="U99" s="110"/>
      <c r="V99" s="110"/>
      <c r="W99" s="110"/>
      <c r="X99" s="110"/>
      <c r="Y99" s="109"/>
      <c r="Z99" s="109"/>
      <c r="AA99" s="110"/>
      <c r="AB99" s="110"/>
      <c r="AC99" s="110"/>
      <c r="AD99" s="110"/>
      <c r="AE99" s="110"/>
      <c r="AF99" s="109"/>
      <c r="AG99" s="109"/>
      <c r="AH99" s="110"/>
      <c r="AI99" s="110"/>
      <c r="AJ99" s="110"/>
      <c r="AK99" s="110"/>
      <c r="AL99" s="110"/>
      <c r="AM99" s="109"/>
      <c r="AN99" s="109"/>
      <c r="AO99" s="110"/>
      <c r="AP99" s="110"/>
      <c r="AQ99" s="110"/>
      <c r="AR99" s="110"/>
      <c r="AS99" s="110"/>
      <c r="AT99" s="109"/>
      <c r="AU99" s="109"/>
      <c r="AV99" s="110"/>
      <c r="AW99" s="110"/>
      <c r="AX99" s="110"/>
      <c r="AY99" s="110"/>
      <c r="AZ99" s="110"/>
      <c r="BA99" s="109"/>
      <c r="BB99" s="109"/>
      <c r="BC99" s="110"/>
      <c r="BD99" s="110"/>
      <c r="BE99" s="110"/>
      <c r="BF99" s="110"/>
      <c r="BG99" s="110"/>
      <c r="BH99" s="109"/>
      <c r="BI99" s="109"/>
      <c r="BJ99" s="110"/>
      <c r="BK99" s="110"/>
      <c r="BL99" s="110"/>
      <c r="BM99" s="110"/>
      <c r="BN99" s="110"/>
      <c r="BO99" s="109"/>
      <c r="BP99" s="109"/>
      <c r="BQ99" s="110"/>
      <c r="BR99" s="127"/>
      <c r="BS99" s="127"/>
      <c r="BT99" s="127"/>
      <c r="BU99" s="127"/>
      <c r="BV99" s="109"/>
      <c r="BW99" s="109"/>
      <c r="BX99" s="110"/>
      <c r="BY99" s="110"/>
      <c r="BZ99" s="110"/>
      <c r="CA99" s="110"/>
      <c r="CB99" s="110"/>
    </row>
    <row r="100" ht="30.0" customHeight="1">
      <c r="A100" s="44"/>
      <c r="B100" s="113" t="s">
        <v>449</v>
      </c>
      <c r="C100" s="126" t="s">
        <v>450</v>
      </c>
      <c r="D100" s="128" t="s">
        <v>447</v>
      </c>
      <c r="E100" s="126" t="s">
        <v>451</v>
      </c>
      <c r="F100" s="116"/>
      <c r="G100" s="129"/>
      <c r="H100" s="129"/>
      <c r="I100" s="118">
        <v>0.0</v>
      </c>
      <c r="J100" s="119">
        <v>0.0</v>
      </c>
      <c r="K100" s="109"/>
      <c r="L100" s="109"/>
      <c r="M100" s="110"/>
      <c r="N100" s="110"/>
      <c r="O100" s="110"/>
      <c r="P100" s="110"/>
      <c r="Q100" s="110"/>
      <c r="R100" s="109"/>
      <c r="S100" s="109"/>
      <c r="T100" s="110"/>
      <c r="U100" s="110"/>
      <c r="V100" s="110"/>
      <c r="W100" s="110"/>
      <c r="X100" s="110"/>
      <c r="Y100" s="109"/>
      <c r="Z100" s="109"/>
      <c r="AA100" s="110"/>
      <c r="AB100" s="110"/>
      <c r="AC100" s="110"/>
      <c r="AD100" s="110"/>
      <c r="AE100" s="110"/>
      <c r="AF100" s="109"/>
      <c r="AG100" s="109"/>
      <c r="AH100" s="110"/>
      <c r="AI100" s="110"/>
      <c r="AJ100" s="110"/>
      <c r="AK100" s="110"/>
      <c r="AL100" s="110"/>
      <c r="AM100" s="109"/>
      <c r="AN100" s="109"/>
      <c r="AO100" s="110"/>
      <c r="AP100" s="110"/>
      <c r="AQ100" s="110"/>
      <c r="AR100" s="110"/>
      <c r="AS100" s="110"/>
      <c r="AT100" s="109"/>
      <c r="AU100" s="109"/>
      <c r="AV100" s="110"/>
      <c r="AW100" s="110"/>
      <c r="AX100" s="110"/>
      <c r="AY100" s="110"/>
      <c r="AZ100" s="110"/>
      <c r="BA100" s="109"/>
      <c r="BB100" s="109"/>
      <c r="BC100" s="110"/>
      <c r="BD100" s="110"/>
      <c r="BE100" s="110"/>
      <c r="BF100" s="110"/>
      <c r="BG100" s="110"/>
      <c r="BH100" s="109"/>
      <c r="BI100" s="109"/>
      <c r="BJ100" s="110"/>
      <c r="BK100" s="110"/>
      <c r="BL100" s="110"/>
      <c r="BM100" s="110"/>
      <c r="BN100" s="110"/>
      <c r="BO100" s="109"/>
      <c r="BP100" s="109"/>
      <c r="BQ100" s="110"/>
      <c r="BR100" s="110"/>
      <c r="BS100" s="127"/>
      <c r="BT100" s="127"/>
      <c r="BU100" s="127"/>
      <c r="BV100" s="109"/>
      <c r="BW100" s="109"/>
      <c r="BX100" s="110"/>
      <c r="BY100" s="110"/>
      <c r="BZ100" s="110"/>
      <c r="CA100" s="110"/>
      <c r="CB100" s="110"/>
    </row>
    <row r="101" ht="30.0" customHeight="1">
      <c r="A101" s="105"/>
      <c r="B101" s="103" t="s">
        <v>452</v>
      </c>
      <c r="C101" s="104" t="s">
        <v>453</v>
      </c>
      <c r="D101" s="104"/>
      <c r="E101" s="104" t="s">
        <v>44</v>
      </c>
      <c r="F101" s="104"/>
      <c r="G101" s="106">
        <f>MIN(G102:G110)</f>
        <v>46322</v>
      </c>
      <c r="H101" s="106">
        <f>MAX(H102:H110)</f>
        <v>46331</v>
      </c>
      <c r="I101" s="107">
        <f>SUM(I102:I110)</f>
        <v>0.04</v>
      </c>
      <c r="J101" s="108">
        <f>IFERROR((I102*J102+I103*J103+I104*J104+I105*J105+I106*J106+I107*J107+I108*J108+I109*J109+I110*J110)/SUM(I102:I110),0)</f>
        <v>0</v>
      </c>
      <c r="K101" s="109"/>
      <c r="L101" s="109"/>
      <c r="M101" s="110"/>
      <c r="N101" s="110"/>
      <c r="O101" s="110"/>
      <c r="P101" s="110"/>
      <c r="Q101" s="110"/>
      <c r="R101" s="109"/>
      <c r="S101" s="109"/>
      <c r="T101" s="110"/>
      <c r="U101" s="110"/>
      <c r="V101" s="110"/>
      <c r="W101" s="110"/>
      <c r="X101" s="110"/>
      <c r="Y101" s="109"/>
      <c r="Z101" s="109"/>
      <c r="AA101" s="110"/>
      <c r="AB101" s="110"/>
      <c r="AC101" s="110"/>
      <c r="AD101" s="110"/>
      <c r="AE101" s="110"/>
      <c r="AF101" s="109"/>
      <c r="AG101" s="109"/>
      <c r="AH101" s="110"/>
      <c r="AI101" s="110"/>
      <c r="AJ101" s="110"/>
      <c r="AK101" s="110"/>
      <c r="AL101" s="110"/>
      <c r="AM101" s="109"/>
      <c r="AN101" s="109"/>
      <c r="AO101" s="110"/>
      <c r="AP101" s="110"/>
      <c r="AQ101" s="110"/>
      <c r="AR101" s="110"/>
      <c r="AS101" s="110"/>
      <c r="AT101" s="109"/>
      <c r="AU101" s="109"/>
      <c r="AV101" s="110"/>
      <c r="AW101" s="110"/>
      <c r="AX101" s="110"/>
      <c r="AY101" s="110"/>
      <c r="AZ101" s="110"/>
      <c r="BA101" s="109"/>
      <c r="BB101" s="109"/>
      <c r="BC101" s="110"/>
      <c r="BD101" s="110"/>
      <c r="BE101" s="110"/>
      <c r="BF101" s="110"/>
      <c r="BG101" s="110"/>
      <c r="BH101" s="109"/>
      <c r="BI101" s="109"/>
      <c r="BJ101" s="110"/>
      <c r="BK101" s="110"/>
      <c r="BL101" s="112"/>
      <c r="BM101" s="112"/>
      <c r="BN101" s="112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0"/>
      <c r="BZ101" s="110"/>
      <c r="CA101" s="110"/>
      <c r="CB101" s="110"/>
    </row>
    <row r="102" ht="30.0" customHeight="1">
      <c r="A102" s="44"/>
      <c r="B102" s="113" t="s">
        <v>454</v>
      </c>
      <c r="C102" s="126" t="s">
        <v>455</v>
      </c>
      <c r="D102" s="121" t="s">
        <v>277</v>
      </c>
      <c r="E102" s="126" t="s">
        <v>456</v>
      </c>
      <c r="F102" s="116"/>
      <c r="G102" s="117">
        <v>46322.0</v>
      </c>
      <c r="H102" s="117">
        <v>46324.0</v>
      </c>
      <c r="I102" s="118">
        <v>0.0055</v>
      </c>
      <c r="J102" s="119">
        <v>0.0</v>
      </c>
      <c r="K102" s="109"/>
      <c r="L102" s="109"/>
      <c r="M102" s="110"/>
      <c r="N102" s="110"/>
      <c r="O102" s="110"/>
      <c r="P102" s="110"/>
      <c r="Q102" s="110"/>
      <c r="R102" s="109"/>
      <c r="S102" s="109"/>
      <c r="T102" s="110"/>
      <c r="U102" s="110"/>
      <c r="V102" s="110"/>
      <c r="W102" s="110"/>
      <c r="X102" s="110"/>
      <c r="Y102" s="109"/>
      <c r="Z102" s="109"/>
      <c r="AA102" s="110"/>
      <c r="AB102" s="110"/>
      <c r="AC102" s="110"/>
      <c r="AD102" s="110"/>
      <c r="AE102" s="110"/>
      <c r="AF102" s="109"/>
      <c r="AG102" s="109"/>
      <c r="AH102" s="110"/>
      <c r="AI102" s="110"/>
      <c r="AJ102" s="110"/>
      <c r="AK102" s="110"/>
      <c r="AL102" s="110"/>
      <c r="AM102" s="109"/>
      <c r="AN102" s="109"/>
      <c r="AO102" s="110"/>
      <c r="AP102" s="110"/>
      <c r="AQ102" s="110"/>
      <c r="AR102" s="110"/>
      <c r="AS102" s="110"/>
      <c r="AT102" s="109"/>
      <c r="AU102" s="109"/>
      <c r="AV102" s="110"/>
      <c r="AW102" s="110"/>
      <c r="AX102" s="110"/>
      <c r="AY102" s="110"/>
      <c r="AZ102" s="110"/>
      <c r="BA102" s="109"/>
      <c r="BB102" s="109"/>
      <c r="BC102" s="110"/>
      <c r="BD102" s="110"/>
      <c r="BE102" s="110"/>
      <c r="BF102" s="110"/>
      <c r="BG102" s="110"/>
      <c r="BH102" s="109"/>
      <c r="BI102" s="109"/>
      <c r="BJ102" s="110"/>
      <c r="BK102" s="110"/>
      <c r="BL102" s="130"/>
      <c r="BM102" s="130"/>
      <c r="BN102" s="130"/>
      <c r="BO102" s="130"/>
      <c r="BP102" s="130"/>
      <c r="BQ102" s="130"/>
      <c r="BR102" s="110"/>
      <c r="BS102" s="110"/>
      <c r="BT102" s="110"/>
      <c r="BU102" s="110"/>
      <c r="BV102" s="109"/>
      <c r="BW102" s="109"/>
      <c r="BX102" s="110"/>
      <c r="BY102" s="110"/>
      <c r="BZ102" s="110"/>
      <c r="CA102" s="110"/>
      <c r="CB102" s="110"/>
    </row>
    <row r="103" ht="30.0" customHeight="1">
      <c r="A103" s="44"/>
      <c r="B103" s="113" t="s">
        <v>457</v>
      </c>
      <c r="C103" s="126" t="s">
        <v>458</v>
      </c>
      <c r="D103" s="121" t="s">
        <v>277</v>
      </c>
      <c r="E103" s="126" t="s">
        <v>459</v>
      </c>
      <c r="F103" s="116"/>
      <c r="G103" s="117">
        <v>46323.0</v>
      </c>
      <c r="H103" s="117">
        <v>46325.0</v>
      </c>
      <c r="I103" s="118">
        <v>0.0045</v>
      </c>
      <c r="J103" s="119">
        <v>0.0</v>
      </c>
      <c r="K103" s="109"/>
      <c r="L103" s="109"/>
      <c r="M103" s="110"/>
      <c r="N103" s="110"/>
      <c r="O103" s="110"/>
      <c r="P103" s="110"/>
      <c r="Q103" s="110"/>
      <c r="R103" s="109"/>
      <c r="S103" s="109"/>
      <c r="T103" s="110"/>
      <c r="U103" s="110"/>
      <c r="V103" s="110"/>
      <c r="W103" s="110"/>
      <c r="X103" s="110"/>
      <c r="Y103" s="109"/>
      <c r="Z103" s="109"/>
      <c r="AA103" s="110"/>
      <c r="AB103" s="110"/>
      <c r="AC103" s="110"/>
      <c r="AD103" s="110"/>
      <c r="AE103" s="110"/>
      <c r="AF103" s="109"/>
      <c r="AG103" s="109"/>
      <c r="AH103" s="110"/>
      <c r="AI103" s="110"/>
      <c r="AJ103" s="110"/>
      <c r="AK103" s="110"/>
      <c r="AL103" s="110"/>
      <c r="AM103" s="109"/>
      <c r="AN103" s="109"/>
      <c r="AO103" s="110"/>
      <c r="AP103" s="110"/>
      <c r="AQ103" s="110"/>
      <c r="AR103" s="110"/>
      <c r="AS103" s="110"/>
      <c r="AT103" s="109"/>
      <c r="AU103" s="109"/>
      <c r="AV103" s="110"/>
      <c r="AW103" s="110"/>
      <c r="AX103" s="110"/>
      <c r="AY103" s="110"/>
      <c r="AZ103" s="110"/>
      <c r="BA103" s="109"/>
      <c r="BB103" s="109"/>
      <c r="BC103" s="110"/>
      <c r="BD103" s="110"/>
      <c r="BE103" s="110"/>
      <c r="BF103" s="110"/>
      <c r="BG103" s="110"/>
      <c r="BH103" s="109"/>
      <c r="BI103" s="109"/>
      <c r="BJ103" s="110"/>
      <c r="BK103" s="110"/>
      <c r="BL103" s="130"/>
      <c r="BM103" s="130"/>
      <c r="BN103" s="130"/>
      <c r="BO103" s="130"/>
      <c r="BP103" s="130"/>
      <c r="BQ103" s="130"/>
      <c r="BR103" s="130"/>
      <c r="BS103" s="110"/>
      <c r="BT103" s="110"/>
      <c r="BU103" s="110"/>
      <c r="BV103" s="109"/>
      <c r="BW103" s="109"/>
      <c r="BX103" s="110"/>
      <c r="BY103" s="110"/>
      <c r="BZ103" s="110"/>
      <c r="CA103" s="110"/>
      <c r="CB103" s="110"/>
    </row>
    <row r="104" ht="30.0" customHeight="1">
      <c r="A104" s="44"/>
      <c r="B104" s="113" t="s">
        <v>460</v>
      </c>
      <c r="C104" s="126" t="s">
        <v>461</v>
      </c>
      <c r="D104" s="121" t="s">
        <v>277</v>
      </c>
      <c r="E104" s="126" t="s">
        <v>462</v>
      </c>
      <c r="F104" s="116"/>
      <c r="G104" s="117">
        <v>46324.0</v>
      </c>
      <c r="H104" s="117">
        <v>46328.0</v>
      </c>
      <c r="I104" s="118">
        <v>0.005</v>
      </c>
      <c r="J104" s="119">
        <v>0.0</v>
      </c>
      <c r="K104" s="109"/>
      <c r="L104" s="109"/>
      <c r="M104" s="110"/>
      <c r="N104" s="110"/>
      <c r="O104" s="110"/>
      <c r="P104" s="110"/>
      <c r="Q104" s="110"/>
      <c r="R104" s="109"/>
      <c r="S104" s="109"/>
      <c r="T104" s="110"/>
      <c r="U104" s="110"/>
      <c r="V104" s="110"/>
      <c r="W104" s="110"/>
      <c r="X104" s="110"/>
      <c r="Y104" s="109"/>
      <c r="Z104" s="109"/>
      <c r="AA104" s="110"/>
      <c r="AB104" s="110"/>
      <c r="AC104" s="110"/>
      <c r="AD104" s="110"/>
      <c r="AE104" s="110"/>
      <c r="AF104" s="109"/>
      <c r="AG104" s="109"/>
      <c r="AH104" s="110"/>
      <c r="AI104" s="110"/>
      <c r="AJ104" s="110"/>
      <c r="AK104" s="110"/>
      <c r="AL104" s="110"/>
      <c r="AM104" s="109"/>
      <c r="AN104" s="109"/>
      <c r="AO104" s="110"/>
      <c r="AP104" s="110"/>
      <c r="AQ104" s="110"/>
      <c r="AR104" s="110"/>
      <c r="AS104" s="110"/>
      <c r="AT104" s="109"/>
      <c r="AU104" s="109"/>
      <c r="AV104" s="110"/>
      <c r="AW104" s="110"/>
      <c r="AX104" s="110"/>
      <c r="AY104" s="110"/>
      <c r="AZ104" s="110"/>
      <c r="BA104" s="109"/>
      <c r="BB104" s="109"/>
      <c r="BC104" s="110"/>
      <c r="BD104" s="110"/>
      <c r="BE104" s="110"/>
      <c r="BF104" s="110"/>
      <c r="BG104" s="110"/>
      <c r="BH104" s="109"/>
      <c r="BI104" s="109"/>
      <c r="BJ104" s="110"/>
      <c r="BK104" s="110"/>
      <c r="BL104" s="110"/>
      <c r="BM104" s="130"/>
      <c r="BN104" s="130"/>
      <c r="BO104" s="130"/>
      <c r="BP104" s="130"/>
      <c r="BQ104" s="130"/>
      <c r="BR104" s="130"/>
      <c r="BS104" s="130"/>
      <c r="BT104" s="110"/>
      <c r="BU104" s="110"/>
      <c r="BV104" s="109"/>
      <c r="BW104" s="109"/>
      <c r="BX104" s="110"/>
      <c r="BY104" s="110"/>
      <c r="BZ104" s="110"/>
      <c r="CA104" s="110"/>
      <c r="CB104" s="110"/>
    </row>
    <row r="105" ht="30.0" customHeight="1">
      <c r="A105" s="44"/>
      <c r="B105" s="113" t="s">
        <v>463</v>
      </c>
      <c r="C105" s="126" t="s">
        <v>464</v>
      </c>
      <c r="D105" s="121" t="s">
        <v>277</v>
      </c>
      <c r="E105" s="126" t="s">
        <v>465</v>
      </c>
      <c r="F105" s="116"/>
      <c r="G105" s="117">
        <v>46324.0</v>
      </c>
      <c r="H105" s="117">
        <v>46328.0</v>
      </c>
      <c r="I105" s="118">
        <v>0.0075</v>
      </c>
      <c r="J105" s="119">
        <v>0.0</v>
      </c>
      <c r="K105" s="109"/>
      <c r="L105" s="109"/>
      <c r="M105" s="110"/>
      <c r="N105" s="110"/>
      <c r="O105" s="110"/>
      <c r="P105" s="110"/>
      <c r="Q105" s="110"/>
      <c r="R105" s="109"/>
      <c r="S105" s="109"/>
      <c r="T105" s="110"/>
      <c r="U105" s="110"/>
      <c r="V105" s="110"/>
      <c r="W105" s="110"/>
      <c r="X105" s="110"/>
      <c r="Y105" s="109"/>
      <c r="Z105" s="109"/>
      <c r="AA105" s="110"/>
      <c r="AB105" s="110"/>
      <c r="AC105" s="110"/>
      <c r="AD105" s="110"/>
      <c r="AE105" s="110"/>
      <c r="AF105" s="109"/>
      <c r="AG105" s="109"/>
      <c r="AH105" s="110"/>
      <c r="AI105" s="110"/>
      <c r="AJ105" s="110"/>
      <c r="AK105" s="110"/>
      <c r="AL105" s="110"/>
      <c r="AM105" s="109"/>
      <c r="AN105" s="109"/>
      <c r="AO105" s="110"/>
      <c r="AP105" s="110"/>
      <c r="AQ105" s="110"/>
      <c r="AR105" s="110"/>
      <c r="AS105" s="110"/>
      <c r="AT105" s="109"/>
      <c r="AU105" s="109"/>
      <c r="AV105" s="110"/>
      <c r="AW105" s="110"/>
      <c r="AX105" s="110"/>
      <c r="AY105" s="110"/>
      <c r="AZ105" s="110"/>
      <c r="BA105" s="109"/>
      <c r="BB105" s="109"/>
      <c r="BC105" s="110"/>
      <c r="BD105" s="110"/>
      <c r="BE105" s="110"/>
      <c r="BF105" s="110"/>
      <c r="BG105" s="110"/>
      <c r="BH105" s="109"/>
      <c r="BI105" s="109"/>
      <c r="BJ105" s="110"/>
      <c r="BK105" s="110"/>
      <c r="BL105" s="110"/>
      <c r="BM105" s="110"/>
      <c r="BN105" s="130"/>
      <c r="BO105" s="130"/>
      <c r="BP105" s="130"/>
      <c r="BQ105" s="130"/>
      <c r="BR105" s="130"/>
      <c r="BS105" s="130"/>
      <c r="BT105" s="130"/>
      <c r="BU105" s="110"/>
      <c r="BV105" s="109"/>
      <c r="BW105" s="109"/>
      <c r="BX105" s="110"/>
      <c r="BY105" s="110"/>
      <c r="BZ105" s="110"/>
      <c r="CA105" s="110"/>
      <c r="CB105" s="110"/>
    </row>
    <row r="106" ht="30.0" customHeight="1">
      <c r="A106" s="44"/>
      <c r="B106" s="113" t="s">
        <v>466</v>
      </c>
      <c r="C106" s="126" t="s">
        <v>467</v>
      </c>
      <c r="D106" s="121" t="s">
        <v>277</v>
      </c>
      <c r="E106" s="126" t="s">
        <v>468</v>
      </c>
      <c r="F106" s="116"/>
      <c r="G106" s="117">
        <v>46328.0</v>
      </c>
      <c r="H106" s="117">
        <v>46330.0</v>
      </c>
      <c r="I106" s="118">
        <v>0.007</v>
      </c>
      <c r="J106" s="119">
        <v>0.0</v>
      </c>
      <c r="K106" s="109"/>
      <c r="L106" s="109"/>
      <c r="M106" s="110"/>
      <c r="N106" s="110"/>
      <c r="O106" s="110"/>
      <c r="P106" s="110"/>
      <c r="Q106" s="110"/>
      <c r="R106" s="109"/>
      <c r="S106" s="109"/>
      <c r="T106" s="110"/>
      <c r="U106" s="110"/>
      <c r="V106" s="110"/>
      <c r="W106" s="110"/>
      <c r="X106" s="110"/>
      <c r="Y106" s="109"/>
      <c r="Z106" s="109"/>
      <c r="AA106" s="110"/>
      <c r="AB106" s="110"/>
      <c r="AC106" s="110"/>
      <c r="AD106" s="110"/>
      <c r="AE106" s="110"/>
      <c r="AF106" s="109"/>
      <c r="AG106" s="109"/>
      <c r="AH106" s="110"/>
      <c r="AI106" s="110"/>
      <c r="AJ106" s="110"/>
      <c r="AK106" s="110"/>
      <c r="AL106" s="110"/>
      <c r="AM106" s="109"/>
      <c r="AN106" s="109"/>
      <c r="AO106" s="110"/>
      <c r="AP106" s="110"/>
      <c r="AQ106" s="110"/>
      <c r="AR106" s="110"/>
      <c r="AS106" s="110"/>
      <c r="AT106" s="109"/>
      <c r="AU106" s="109"/>
      <c r="AV106" s="110"/>
      <c r="AW106" s="110"/>
      <c r="AX106" s="110"/>
      <c r="AY106" s="110"/>
      <c r="AZ106" s="110"/>
      <c r="BA106" s="109"/>
      <c r="BB106" s="109"/>
      <c r="BC106" s="110"/>
      <c r="BD106" s="110"/>
      <c r="BE106" s="110"/>
      <c r="BF106" s="110"/>
      <c r="BG106" s="110"/>
      <c r="BH106" s="109"/>
      <c r="BI106" s="109"/>
      <c r="BJ106" s="110"/>
      <c r="BK106" s="110"/>
      <c r="BL106" s="110"/>
      <c r="BM106" s="110"/>
      <c r="BN106" s="110"/>
      <c r="BO106" s="109"/>
      <c r="BP106" s="109"/>
      <c r="BQ106" s="130"/>
      <c r="BR106" s="130"/>
      <c r="BS106" s="130"/>
      <c r="BT106" s="130"/>
      <c r="BU106" s="130"/>
      <c r="BV106" s="109"/>
      <c r="BW106" s="109"/>
      <c r="BX106" s="110"/>
      <c r="BY106" s="110"/>
      <c r="BZ106" s="110"/>
      <c r="CA106" s="110"/>
      <c r="CB106" s="110"/>
    </row>
    <row r="107" ht="30.0" customHeight="1">
      <c r="A107" s="44"/>
      <c r="B107" s="113" t="s">
        <v>469</v>
      </c>
      <c r="C107" s="126" t="s">
        <v>470</v>
      </c>
      <c r="D107" s="121" t="s">
        <v>277</v>
      </c>
      <c r="E107" s="126" t="s">
        <v>471</v>
      </c>
      <c r="F107" s="116"/>
      <c r="G107" s="117">
        <v>46328.0</v>
      </c>
      <c r="H107" s="117">
        <v>46330.0</v>
      </c>
      <c r="I107" s="118">
        <v>0.006</v>
      </c>
      <c r="J107" s="119">
        <v>0.0</v>
      </c>
      <c r="K107" s="109"/>
      <c r="L107" s="109"/>
      <c r="M107" s="110"/>
      <c r="N107" s="110"/>
      <c r="O107" s="110"/>
      <c r="P107" s="110"/>
      <c r="Q107" s="110"/>
      <c r="R107" s="109"/>
      <c r="S107" s="109"/>
      <c r="T107" s="110"/>
      <c r="U107" s="110"/>
      <c r="V107" s="110"/>
      <c r="W107" s="110"/>
      <c r="X107" s="110"/>
      <c r="Y107" s="109"/>
      <c r="Z107" s="109"/>
      <c r="AA107" s="110"/>
      <c r="AB107" s="110"/>
      <c r="AC107" s="110"/>
      <c r="AD107" s="110"/>
      <c r="AE107" s="110"/>
      <c r="AF107" s="109"/>
      <c r="AG107" s="109"/>
      <c r="AH107" s="110"/>
      <c r="AI107" s="110"/>
      <c r="AJ107" s="110"/>
      <c r="AK107" s="110"/>
      <c r="AL107" s="110"/>
      <c r="AM107" s="109"/>
      <c r="AN107" s="109"/>
      <c r="AO107" s="110"/>
      <c r="AP107" s="110"/>
      <c r="AQ107" s="110"/>
      <c r="AR107" s="110"/>
      <c r="AS107" s="110"/>
      <c r="AT107" s="109"/>
      <c r="AU107" s="109"/>
      <c r="AV107" s="110"/>
      <c r="AW107" s="110"/>
      <c r="AX107" s="110"/>
      <c r="AY107" s="110"/>
      <c r="AZ107" s="110"/>
      <c r="BA107" s="109"/>
      <c r="BB107" s="109"/>
      <c r="BC107" s="110"/>
      <c r="BD107" s="110"/>
      <c r="BE107" s="110"/>
      <c r="BF107" s="110"/>
      <c r="BG107" s="110"/>
      <c r="BH107" s="109"/>
      <c r="BI107" s="109"/>
      <c r="BJ107" s="110"/>
      <c r="BK107" s="110"/>
      <c r="BL107" s="110"/>
      <c r="BM107" s="110"/>
      <c r="BN107" s="110"/>
      <c r="BO107" s="109"/>
      <c r="BP107" s="109"/>
      <c r="BQ107" s="110"/>
      <c r="BR107" s="130"/>
      <c r="BS107" s="130"/>
      <c r="BT107" s="130"/>
      <c r="BU107" s="130"/>
      <c r="BV107" s="109"/>
      <c r="BW107" s="109"/>
      <c r="BX107" s="110"/>
      <c r="BY107" s="110"/>
      <c r="BZ107" s="110"/>
      <c r="CA107" s="110"/>
      <c r="CB107" s="110"/>
    </row>
    <row r="108" ht="30.0" customHeight="1">
      <c r="A108" s="44"/>
      <c r="B108" s="113" t="s">
        <v>472</v>
      </c>
      <c r="C108" s="126" t="s">
        <v>473</v>
      </c>
      <c r="D108" s="121" t="s">
        <v>277</v>
      </c>
      <c r="E108" s="126" t="s">
        <v>474</v>
      </c>
      <c r="F108" s="116"/>
      <c r="G108" s="117">
        <v>46329.0</v>
      </c>
      <c r="H108" s="117">
        <v>46331.0</v>
      </c>
      <c r="I108" s="118">
        <v>0.0045</v>
      </c>
      <c r="J108" s="119">
        <v>0.0</v>
      </c>
      <c r="K108" s="109"/>
      <c r="L108" s="109"/>
      <c r="M108" s="110"/>
      <c r="N108" s="110"/>
      <c r="O108" s="110"/>
      <c r="P108" s="110"/>
      <c r="Q108" s="110"/>
      <c r="R108" s="109"/>
      <c r="S108" s="109"/>
      <c r="T108" s="110"/>
      <c r="U108" s="110"/>
      <c r="V108" s="110"/>
      <c r="W108" s="110"/>
      <c r="X108" s="110"/>
      <c r="Y108" s="109"/>
      <c r="Z108" s="109"/>
      <c r="AA108" s="110"/>
      <c r="AB108" s="110"/>
      <c r="AC108" s="110"/>
      <c r="AD108" s="110"/>
      <c r="AE108" s="110"/>
      <c r="AF108" s="109"/>
      <c r="AG108" s="109"/>
      <c r="AH108" s="110"/>
      <c r="AI108" s="110"/>
      <c r="AJ108" s="110"/>
      <c r="AK108" s="110"/>
      <c r="AL108" s="110"/>
      <c r="AM108" s="109"/>
      <c r="AN108" s="109"/>
      <c r="AO108" s="110"/>
      <c r="AP108" s="110"/>
      <c r="AQ108" s="110"/>
      <c r="AR108" s="110"/>
      <c r="AS108" s="110"/>
      <c r="AT108" s="109"/>
      <c r="AU108" s="109"/>
      <c r="AV108" s="110"/>
      <c r="AW108" s="110"/>
      <c r="AX108" s="110"/>
      <c r="AY108" s="110"/>
      <c r="AZ108" s="110"/>
      <c r="BA108" s="109"/>
      <c r="BB108" s="109"/>
      <c r="BC108" s="110"/>
      <c r="BD108" s="110"/>
      <c r="BE108" s="110"/>
      <c r="BF108" s="110"/>
      <c r="BG108" s="110"/>
      <c r="BH108" s="109"/>
      <c r="BI108" s="109"/>
      <c r="BJ108" s="110"/>
      <c r="BK108" s="110"/>
      <c r="BL108" s="110"/>
      <c r="BM108" s="110"/>
      <c r="BN108" s="110"/>
      <c r="BO108" s="109"/>
      <c r="BP108" s="109"/>
      <c r="BQ108" s="110"/>
      <c r="BR108" s="110"/>
      <c r="BS108" s="130"/>
      <c r="BT108" s="130"/>
      <c r="BU108" s="130"/>
      <c r="BV108" s="109"/>
      <c r="BW108" s="109"/>
      <c r="BX108" s="110"/>
      <c r="BY108" s="110"/>
      <c r="BZ108" s="110"/>
      <c r="CA108" s="110"/>
      <c r="CB108" s="110"/>
    </row>
    <row r="109" ht="30.0" customHeight="1">
      <c r="A109" s="44"/>
      <c r="B109" s="113" t="s">
        <v>475</v>
      </c>
      <c r="C109" s="126" t="s">
        <v>476</v>
      </c>
      <c r="D109" s="121" t="s">
        <v>277</v>
      </c>
      <c r="E109" s="126" t="s">
        <v>477</v>
      </c>
      <c r="F109" s="116"/>
      <c r="G109" s="129"/>
      <c r="H109" s="129"/>
      <c r="I109" s="118">
        <v>0.0</v>
      </c>
      <c r="J109" s="119">
        <v>0.0</v>
      </c>
      <c r="K109" s="109"/>
      <c r="L109" s="109"/>
      <c r="M109" s="110"/>
      <c r="N109" s="110"/>
      <c r="O109" s="110"/>
      <c r="P109" s="110"/>
      <c r="Q109" s="110"/>
      <c r="R109" s="109"/>
      <c r="S109" s="109"/>
      <c r="T109" s="110"/>
      <c r="U109" s="110"/>
      <c r="V109" s="110"/>
      <c r="W109" s="110"/>
      <c r="X109" s="110"/>
      <c r="Y109" s="109"/>
      <c r="Z109" s="109"/>
      <c r="AA109" s="110"/>
      <c r="AB109" s="110"/>
      <c r="AC109" s="110"/>
      <c r="AD109" s="110"/>
      <c r="AE109" s="110"/>
      <c r="AF109" s="109"/>
      <c r="AG109" s="109"/>
      <c r="AH109" s="110"/>
      <c r="AI109" s="110"/>
      <c r="AJ109" s="110"/>
      <c r="AK109" s="110"/>
      <c r="AL109" s="110"/>
      <c r="AM109" s="109"/>
      <c r="AN109" s="109"/>
      <c r="AO109" s="110"/>
      <c r="AP109" s="110"/>
      <c r="AQ109" s="110"/>
      <c r="AR109" s="110"/>
      <c r="AS109" s="110"/>
      <c r="AT109" s="109"/>
      <c r="AU109" s="109"/>
      <c r="AV109" s="110"/>
      <c r="AW109" s="110"/>
      <c r="AX109" s="110"/>
      <c r="AY109" s="110"/>
      <c r="AZ109" s="110"/>
      <c r="BA109" s="109"/>
      <c r="BB109" s="109"/>
      <c r="BC109" s="110"/>
      <c r="BD109" s="110"/>
      <c r="BE109" s="110"/>
      <c r="BF109" s="110"/>
      <c r="BG109" s="110"/>
      <c r="BH109" s="109"/>
      <c r="BI109" s="109"/>
      <c r="BJ109" s="110"/>
      <c r="BK109" s="110"/>
      <c r="BL109" s="110"/>
      <c r="BM109" s="110"/>
      <c r="BN109" s="110"/>
      <c r="BO109" s="109"/>
      <c r="BP109" s="109"/>
      <c r="BQ109" s="110"/>
      <c r="BR109" s="110"/>
      <c r="BS109" s="130"/>
      <c r="BT109" s="130"/>
      <c r="BU109" s="130"/>
      <c r="BV109" s="130"/>
      <c r="BW109" s="130"/>
      <c r="BX109" s="130"/>
      <c r="BY109" s="110"/>
      <c r="BZ109" s="110"/>
      <c r="CA109" s="110"/>
      <c r="CB109" s="110"/>
    </row>
    <row r="110" ht="30.0" customHeight="1">
      <c r="A110" s="44"/>
      <c r="B110" s="113" t="s">
        <v>478</v>
      </c>
      <c r="C110" s="126" t="s">
        <v>479</v>
      </c>
      <c r="D110" s="121" t="s">
        <v>277</v>
      </c>
      <c r="E110" s="126" t="s">
        <v>477</v>
      </c>
      <c r="F110" s="116"/>
      <c r="G110" s="129"/>
      <c r="H110" s="129"/>
      <c r="I110" s="118">
        <v>0.0</v>
      </c>
      <c r="J110" s="119">
        <v>0.0</v>
      </c>
      <c r="K110" s="109"/>
      <c r="L110" s="109"/>
      <c r="M110" s="110"/>
      <c r="N110" s="110"/>
      <c r="O110" s="110"/>
      <c r="P110" s="110"/>
      <c r="Q110" s="110"/>
      <c r="R110" s="109"/>
      <c r="S110" s="109"/>
      <c r="T110" s="110"/>
      <c r="U110" s="110"/>
      <c r="V110" s="110"/>
      <c r="W110" s="110"/>
      <c r="X110" s="110"/>
      <c r="Y110" s="109"/>
      <c r="Z110" s="109"/>
      <c r="AA110" s="110"/>
      <c r="AB110" s="110"/>
      <c r="AC110" s="110"/>
      <c r="AD110" s="110"/>
      <c r="AE110" s="110"/>
      <c r="AF110" s="109"/>
      <c r="AG110" s="109"/>
      <c r="AH110" s="110"/>
      <c r="AI110" s="110"/>
      <c r="AJ110" s="110"/>
      <c r="AK110" s="110"/>
      <c r="AL110" s="110"/>
      <c r="AM110" s="109"/>
      <c r="AN110" s="109"/>
      <c r="AO110" s="110"/>
      <c r="AP110" s="110"/>
      <c r="AQ110" s="110"/>
      <c r="AR110" s="110"/>
      <c r="AS110" s="110"/>
      <c r="AT110" s="109"/>
      <c r="AU110" s="109"/>
      <c r="AV110" s="110"/>
      <c r="AW110" s="110"/>
      <c r="AX110" s="110"/>
      <c r="AY110" s="110"/>
      <c r="AZ110" s="110"/>
      <c r="BA110" s="109"/>
      <c r="BB110" s="109"/>
      <c r="BC110" s="110"/>
      <c r="BD110" s="110"/>
      <c r="BE110" s="110"/>
      <c r="BF110" s="110"/>
      <c r="BG110" s="110"/>
      <c r="BH110" s="109"/>
      <c r="BI110" s="109"/>
      <c r="BJ110" s="110"/>
      <c r="BK110" s="110"/>
      <c r="BL110" s="110"/>
      <c r="BM110" s="110"/>
      <c r="BN110" s="110"/>
      <c r="BO110" s="109"/>
      <c r="BP110" s="109"/>
      <c r="BQ110" s="110"/>
      <c r="BR110" s="110"/>
      <c r="BS110" s="110"/>
      <c r="BT110" s="130"/>
      <c r="BU110" s="130"/>
      <c r="BV110" s="130"/>
      <c r="BW110" s="130"/>
      <c r="BX110" s="130"/>
      <c r="BY110" s="110"/>
      <c r="BZ110" s="110"/>
      <c r="CA110" s="110"/>
      <c r="CB110" s="110"/>
    </row>
    <row r="111" ht="30.0" customHeight="1">
      <c r="A111" s="105"/>
      <c r="B111" s="103" t="s">
        <v>480</v>
      </c>
      <c r="C111" s="104" t="s">
        <v>481</v>
      </c>
      <c r="D111" s="104"/>
      <c r="E111" s="104" t="s">
        <v>46</v>
      </c>
      <c r="F111" s="104"/>
      <c r="G111" s="106">
        <f>MIN(G112:G120)</f>
        <v>46314</v>
      </c>
      <c r="H111" s="106">
        <f>MAX(H112:H120)</f>
        <v>46330</v>
      </c>
      <c r="I111" s="107">
        <f>SUM(I112:I120)</f>
        <v>0.01</v>
      </c>
      <c r="J111" s="108">
        <f>IFERROR((I112*J112+I113*J113+I114*J114+I115*J115+I116*J116+I117*J117+I118*J118+I119*J119+I120*J120)/SUM(I112:I120),0)</f>
        <v>0</v>
      </c>
      <c r="K111" s="109"/>
      <c r="L111" s="109"/>
      <c r="M111" s="110"/>
      <c r="N111" s="110"/>
      <c r="O111" s="110"/>
      <c r="P111" s="110"/>
      <c r="Q111" s="110"/>
      <c r="R111" s="109"/>
      <c r="S111" s="109"/>
      <c r="T111" s="110"/>
      <c r="U111" s="110"/>
      <c r="V111" s="110"/>
      <c r="W111" s="110"/>
      <c r="X111" s="110"/>
      <c r="Y111" s="109"/>
      <c r="Z111" s="109"/>
      <c r="AA111" s="110"/>
      <c r="AB111" s="110"/>
      <c r="AC111" s="110"/>
      <c r="AD111" s="110"/>
      <c r="AE111" s="110"/>
      <c r="AF111" s="109"/>
      <c r="AG111" s="109"/>
      <c r="AH111" s="110"/>
      <c r="AI111" s="110"/>
      <c r="AJ111" s="110"/>
      <c r="AK111" s="110"/>
      <c r="AL111" s="110"/>
      <c r="AM111" s="109"/>
      <c r="AN111" s="109"/>
      <c r="AO111" s="110"/>
      <c r="AP111" s="110"/>
      <c r="AQ111" s="110"/>
      <c r="AR111" s="110"/>
      <c r="AS111" s="110"/>
      <c r="AT111" s="109"/>
      <c r="AU111" s="109"/>
      <c r="AV111" s="110"/>
      <c r="AW111" s="110"/>
      <c r="AX111" s="110"/>
      <c r="AY111" s="110"/>
      <c r="AZ111" s="110"/>
      <c r="BA111" s="109"/>
      <c r="BB111" s="109"/>
      <c r="BC111" s="110"/>
      <c r="BD111" s="110"/>
      <c r="BE111" s="110"/>
      <c r="BF111" s="110"/>
      <c r="BG111" s="110"/>
      <c r="BH111" s="109"/>
      <c r="BI111" s="109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  <c r="BY111" s="112"/>
      <c r="BZ111" s="110"/>
      <c r="CA111" s="110"/>
      <c r="CB111" s="110"/>
    </row>
    <row r="112" ht="30.0" customHeight="1">
      <c r="A112" s="44"/>
      <c r="B112" s="113" t="s">
        <v>482</v>
      </c>
      <c r="C112" s="126" t="s">
        <v>483</v>
      </c>
      <c r="D112" s="128" t="s">
        <v>447</v>
      </c>
      <c r="E112" s="126" t="s">
        <v>484</v>
      </c>
      <c r="F112" s="116"/>
      <c r="G112" s="129"/>
      <c r="H112" s="129"/>
      <c r="I112" s="118">
        <v>0.0</v>
      </c>
      <c r="J112" s="119">
        <v>0.0</v>
      </c>
      <c r="K112" s="109"/>
      <c r="L112" s="109"/>
      <c r="M112" s="110"/>
      <c r="N112" s="110"/>
      <c r="O112" s="110"/>
      <c r="P112" s="110"/>
      <c r="Q112" s="110"/>
      <c r="R112" s="109"/>
      <c r="S112" s="109"/>
      <c r="T112" s="110"/>
      <c r="U112" s="110"/>
      <c r="V112" s="110"/>
      <c r="W112" s="110"/>
      <c r="X112" s="110"/>
      <c r="Y112" s="109"/>
      <c r="Z112" s="109"/>
      <c r="AA112" s="110"/>
      <c r="AB112" s="110"/>
      <c r="AC112" s="110"/>
      <c r="AD112" s="110"/>
      <c r="AE112" s="110"/>
      <c r="AF112" s="109"/>
      <c r="AG112" s="109"/>
      <c r="AH112" s="110"/>
      <c r="AI112" s="110"/>
      <c r="AJ112" s="110"/>
      <c r="AK112" s="110"/>
      <c r="AL112" s="110"/>
      <c r="AM112" s="109"/>
      <c r="AN112" s="109"/>
      <c r="AO112" s="110"/>
      <c r="AP112" s="110"/>
      <c r="AQ112" s="110"/>
      <c r="AR112" s="110"/>
      <c r="AS112" s="110"/>
      <c r="AT112" s="109"/>
      <c r="AU112" s="109"/>
      <c r="AV112" s="110"/>
      <c r="AW112" s="110"/>
      <c r="AX112" s="110"/>
      <c r="AY112" s="110"/>
      <c r="AZ112" s="110"/>
      <c r="BA112" s="109"/>
      <c r="BB112" s="109"/>
      <c r="BC112" s="110"/>
      <c r="BD112" s="110"/>
      <c r="BE112" s="110"/>
      <c r="BF112" s="110"/>
      <c r="BG112" s="110"/>
      <c r="BH112" s="109"/>
      <c r="BI112" s="109"/>
      <c r="BJ112" s="110"/>
      <c r="BK112" s="110"/>
      <c r="BL112" s="110"/>
      <c r="BM112" s="110"/>
      <c r="BN112" s="110"/>
      <c r="BO112" s="109"/>
      <c r="BP112" s="109"/>
      <c r="BQ112" s="110"/>
      <c r="BR112" s="110"/>
      <c r="BS112" s="131"/>
      <c r="BT112" s="131"/>
      <c r="BU112" s="131"/>
      <c r="BV112" s="131"/>
      <c r="BW112" s="131"/>
      <c r="BX112" s="131"/>
      <c r="BY112" s="110"/>
      <c r="BZ112" s="110"/>
      <c r="CA112" s="110"/>
      <c r="CB112" s="110"/>
    </row>
    <row r="113" ht="30.0" customHeight="1">
      <c r="A113" s="44"/>
      <c r="B113" s="113" t="s">
        <v>485</v>
      </c>
      <c r="C113" s="126" t="s">
        <v>486</v>
      </c>
      <c r="D113" s="128" t="s">
        <v>447</v>
      </c>
      <c r="E113" s="126" t="s">
        <v>487</v>
      </c>
      <c r="F113" s="116"/>
      <c r="G113" s="129"/>
      <c r="H113" s="129"/>
      <c r="I113" s="118">
        <v>0.0</v>
      </c>
      <c r="J113" s="119">
        <v>0.0</v>
      </c>
      <c r="K113" s="109"/>
      <c r="L113" s="109"/>
      <c r="M113" s="110"/>
      <c r="N113" s="110"/>
      <c r="O113" s="110"/>
      <c r="P113" s="110"/>
      <c r="Q113" s="110"/>
      <c r="R113" s="109"/>
      <c r="S113" s="109"/>
      <c r="T113" s="110"/>
      <c r="U113" s="110"/>
      <c r="V113" s="110"/>
      <c r="W113" s="110"/>
      <c r="X113" s="110"/>
      <c r="Y113" s="109"/>
      <c r="Z113" s="109"/>
      <c r="AA113" s="110"/>
      <c r="AB113" s="110"/>
      <c r="AC113" s="110"/>
      <c r="AD113" s="110"/>
      <c r="AE113" s="110"/>
      <c r="AF113" s="109"/>
      <c r="AG113" s="109"/>
      <c r="AH113" s="110"/>
      <c r="AI113" s="110"/>
      <c r="AJ113" s="110"/>
      <c r="AK113" s="110"/>
      <c r="AL113" s="110"/>
      <c r="AM113" s="109"/>
      <c r="AN113" s="109"/>
      <c r="AO113" s="110"/>
      <c r="AP113" s="110"/>
      <c r="AQ113" s="110"/>
      <c r="AR113" s="110"/>
      <c r="AS113" s="110"/>
      <c r="AT113" s="109"/>
      <c r="AU113" s="109"/>
      <c r="AV113" s="110"/>
      <c r="AW113" s="110"/>
      <c r="AX113" s="110"/>
      <c r="AY113" s="110"/>
      <c r="AZ113" s="110"/>
      <c r="BA113" s="109"/>
      <c r="BB113" s="109"/>
      <c r="BC113" s="110"/>
      <c r="BD113" s="110"/>
      <c r="BE113" s="110"/>
      <c r="BF113" s="110"/>
      <c r="BG113" s="110"/>
      <c r="BH113" s="109"/>
      <c r="BI113" s="109"/>
      <c r="BJ113" s="110"/>
      <c r="BK113" s="110"/>
      <c r="BL113" s="110"/>
      <c r="BM113" s="110"/>
      <c r="BN113" s="110"/>
      <c r="BO113" s="109"/>
      <c r="BP113" s="109"/>
      <c r="BQ113" s="110"/>
      <c r="BR113" s="110"/>
      <c r="BS113" s="110"/>
      <c r="BT113" s="131"/>
      <c r="BU113" s="131"/>
      <c r="BV113" s="131"/>
      <c r="BW113" s="131"/>
      <c r="BX113" s="131"/>
      <c r="BY113" s="131"/>
      <c r="BZ113" s="110"/>
      <c r="CA113" s="110"/>
      <c r="CB113" s="110"/>
    </row>
    <row r="114" ht="30.0" customHeight="1">
      <c r="A114" s="44"/>
      <c r="B114" s="113" t="s">
        <v>488</v>
      </c>
      <c r="C114" s="114" t="s">
        <v>489</v>
      </c>
      <c r="D114" s="121" t="s">
        <v>277</v>
      </c>
      <c r="E114" s="114" t="s">
        <v>490</v>
      </c>
      <c r="F114" s="116"/>
      <c r="G114" s="117">
        <v>46322.0</v>
      </c>
      <c r="H114" s="117">
        <v>46328.0</v>
      </c>
      <c r="I114" s="118">
        <v>0.0035</v>
      </c>
      <c r="J114" s="119">
        <v>0.0</v>
      </c>
      <c r="K114" s="109"/>
      <c r="L114" s="109"/>
      <c r="M114" s="110"/>
      <c r="N114" s="110"/>
      <c r="O114" s="110"/>
      <c r="P114" s="110"/>
      <c r="Q114" s="110"/>
      <c r="R114" s="109"/>
      <c r="S114" s="109"/>
      <c r="T114" s="110"/>
      <c r="U114" s="110"/>
      <c r="V114" s="110"/>
      <c r="W114" s="110"/>
      <c r="X114" s="110"/>
      <c r="Y114" s="109"/>
      <c r="Z114" s="109"/>
      <c r="AA114" s="110"/>
      <c r="AB114" s="110"/>
      <c r="AC114" s="110"/>
      <c r="AD114" s="110"/>
      <c r="AE114" s="110"/>
      <c r="AF114" s="109"/>
      <c r="AG114" s="109"/>
      <c r="AH114" s="110"/>
      <c r="AI114" s="110"/>
      <c r="AJ114" s="110"/>
      <c r="AK114" s="110"/>
      <c r="AL114" s="110"/>
      <c r="AM114" s="109"/>
      <c r="AN114" s="109"/>
      <c r="AO114" s="110"/>
      <c r="AP114" s="110"/>
      <c r="AQ114" s="110"/>
      <c r="AR114" s="110"/>
      <c r="AS114" s="110"/>
      <c r="AT114" s="109"/>
      <c r="AU114" s="109"/>
      <c r="AV114" s="110"/>
      <c r="AW114" s="110"/>
      <c r="AX114" s="110"/>
      <c r="AY114" s="110"/>
      <c r="AZ114" s="110"/>
      <c r="BA114" s="109"/>
      <c r="BB114" s="109"/>
      <c r="BC114" s="110"/>
      <c r="BD114" s="110"/>
      <c r="BE114" s="110"/>
      <c r="BF114" s="110"/>
      <c r="BG114" s="110"/>
      <c r="BH114" s="109"/>
      <c r="BI114" s="109"/>
      <c r="BJ114" s="110"/>
      <c r="BK114" s="110"/>
      <c r="BL114" s="110"/>
      <c r="BM114" s="110"/>
      <c r="BN114" s="110"/>
      <c r="BO114" s="109"/>
      <c r="BP114" s="109"/>
      <c r="BQ114" s="131"/>
      <c r="BR114" s="131"/>
      <c r="BS114" s="131"/>
      <c r="BT114" s="131"/>
      <c r="BU114" s="131"/>
      <c r="BV114" s="131"/>
      <c r="BW114" s="131"/>
      <c r="BX114" s="131"/>
      <c r="BY114" s="110"/>
      <c r="BZ114" s="110"/>
      <c r="CA114" s="110"/>
      <c r="CB114" s="110"/>
    </row>
    <row r="115" ht="30.0" customHeight="1">
      <c r="A115" s="44"/>
      <c r="B115" s="113" t="s">
        <v>491</v>
      </c>
      <c r="C115" s="114" t="s">
        <v>492</v>
      </c>
      <c r="D115" s="121" t="s">
        <v>277</v>
      </c>
      <c r="E115" s="114" t="s">
        <v>493</v>
      </c>
      <c r="F115" s="116"/>
      <c r="G115" s="117">
        <v>46325.0</v>
      </c>
      <c r="H115" s="117">
        <v>46328.0</v>
      </c>
      <c r="I115" s="118">
        <v>0.0015</v>
      </c>
      <c r="J115" s="119">
        <v>0.0</v>
      </c>
      <c r="K115" s="109"/>
      <c r="L115" s="109"/>
      <c r="M115" s="110"/>
      <c r="N115" s="110"/>
      <c r="O115" s="110"/>
      <c r="P115" s="110"/>
      <c r="Q115" s="110"/>
      <c r="R115" s="109"/>
      <c r="S115" s="109"/>
      <c r="T115" s="110"/>
      <c r="U115" s="110"/>
      <c r="V115" s="110"/>
      <c r="W115" s="110"/>
      <c r="X115" s="110"/>
      <c r="Y115" s="109"/>
      <c r="Z115" s="109"/>
      <c r="AA115" s="110"/>
      <c r="AB115" s="110"/>
      <c r="AC115" s="110"/>
      <c r="AD115" s="110"/>
      <c r="AE115" s="110"/>
      <c r="AF115" s="109"/>
      <c r="AG115" s="109"/>
      <c r="AH115" s="110"/>
      <c r="AI115" s="110"/>
      <c r="AJ115" s="110"/>
      <c r="AK115" s="110"/>
      <c r="AL115" s="110"/>
      <c r="AM115" s="109"/>
      <c r="AN115" s="109"/>
      <c r="AO115" s="110"/>
      <c r="AP115" s="110"/>
      <c r="AQ115" s="110"/>
      <c r="AR115" s="110"/>
      <c r="AS115" s="110"/>
      <c r="AT115" s="109"/>
      <c r="AU115" s="109"/>
      <c r="AV115" s="110"/>
      <c r="AW115" s="110"/>
      <c r="AX115" s="110"/>
      <c r="AY115" s="110"/>
      <c r="AZ115" s="110"/>
      <c r="BA115" s="109"/>
      <c r="BB115" s="109"/>
      <c r="BC115" s="110"/>
      <c r="BD115" s="110"/>
      <c r="BE115" s="110"/>
      <c r="BF115" s="110"/>
      <c r="BG115" s="110"/>
      <c r="BH115" s="109"/>
      <c r="BI115" s="109"/>
      <c r="BJ115" s="110"/>
      <c r="BK115" s="110"/>
      <c r="BL115" s="110"/>
      <c r="BM115" s="110"/>
      <c r="BN115" s="110"/>
      <c r="BO115" s="109"/>
      <c r="BP115" s="109"/>
      <c r="BQ115" s="110"/>
      <c r="BR115" s="110"/>
      <c r="BS115" s="131"/>
      <c r="BT115" s="131"/>
      <c r="BU115" s="131"/>
      <c r="BV115" s="131"/>
      <c r="BW115" s="131"/>
      <c r="BX115" s="131"/>
      <c r="BY115" s="110"/>
      <c r="BZ115" s="110"/>
      <c r="CA115" s="110"/>
      <c r="CB115" s="110"/>
    </row>
    <row r="116" ht="30.0" customHeight="1">
      <c r="A116" s="44"/>
      <c r="B116" s="113" t="s">
        <v>494</v>
      </c>
      <c r="C116" s="126" t="s">
        <v>495</v>
      </c>
      <c r="D116" s="128" t="s">
        <v>447</v>
      </c>
      <c r="E116" s="126" t="s">
        <v>496</v>
      </c>
      <c r="F116" s="116"/>
      <c r="G116" s="129"/>
      <c r="H116" s="129"/>
      <c r="I116" s="118">
        <v>0.0</v>
      </c>
      <c r="J116" s="119">
        <v>0.0</v>
      </c>
      <c r="K116" s="109"/>
      <c r="L116" s="109"/>
      <c r="M116" s="110"/>
      <c r="N116" s="110"/>
      <c r="O116" s="110"/>
      <c r="P116" s="110"/>
      <c r="Q116" s="110"/>
      <c r="R116" s="109"/>
      <c r="S116" s="109"/>
      <c r="T116" s="110"/>
      <c r="U116" s="110"/>
      <c r="V116" s="110"/>
      <c r="W116" s="110"/>
      <c r="X116" s="110"/>
      <c r="Y116" s="109"/>
      <c r="Z116" s="109"/>
      <c r="AA116" s="110"/>
      <c r="AB116" s="110"/>
      <c r="AC116" s="110"/>
      <c r="AD116" s="110"/>
      <c r="AE116" s="110"/>
      <c r="AF116" s="109"/>
      <c r="AG116" s="109"/>
      <c r="AH116" s="110"/>
      <c r="AI116" s="110"/>
      <c r="AJ116" s="110"/>
      <c r="AK116" s="110"/>
      <c r="AL116" s="110"/>
      <c r="AM116" s="109"/>
      <c r="AN116" s="109"/>
      <c r="AO116" s="110"/>
      <c r="AP116" s="110"/>
      <c r="AQ116" s="110"/>
      <c r="AR116" s="110"/>
      <c r="AS116" s="110"/>
      <c r="AT116" s="109"/>
      <c r="AU116" s="109"/>
      <c r="AV116" s="110"/>
      <c r="AW116" s="110"/>
      <c r="AX116" s="110"/>
      <c r="AY116" s="110"/>
      <c r="AZ116" s="110"/>
      <c r="BA116" s="109"/>
      <c r="BB116" s="109"/>
      <c r="BC116" s="110"/>
      <c r="BD116" s="110"/>
      <c r="BE116" s="110"/>
      <c r="BF116" s="110"/>
      <c r="BG116" s="110"/>
      <c r="BH116" s="109"/>
      <c r="BI116" s="109"/>
      <c r="BJ116" s="110"/>
      <c r="BK116" s="110"/>
      <c r="BL116" s="110"/>
      <c r="BM116" s="110"/>
      <c r="BN116" s="110"/>
      <c r="BO116" s="109"/>
      <c r="BP116" s="109"/>
      <c r="BQ116" s="110"/>
      <c r="BR116" s="131"/>
      <c r="BS116" s="131"/>
      <c r="BT116" s="131"/>
      <c r="BU116" s="131"/>
      <c r="BV116" s="109"/>
      <c r="BW116" s="109"/>
      <c r="BX116" s="110"/>
      <c r="BY116" s="110"/>
      <c r="BZ116" s="110"/>
      <c r="CA116" s="110"/>
      <c r="CB116" s="110"/>
    </row>
    <row r="117" ht="30.0" customHeight="1">
      <c r="A117" s="44"/>
      <c r="B117" s="113" t="s">
        <v>497</v>
      </c>
      <c r="C117" s="114" t="s">
        <v>498</v>
      </c>
      <c r="D117" s="121" t="s">
        <v>277</v>
      </c>
      <c r="E117" s="114" t="s">
        <v>499</v>
      </c>
      <c r="F117" s="116"/>
      <c r="G117" s="117">
        <v>46324.0</v>
      </c>
      <c r="H117" s="117">
        <v>46328.0</v>
      </c>
      <c r="I117" s="118">
        <v>0.002</v>
      </c>
      <c r="J117" s="119">
        <v>0.0</v>
      </c>
      <c r="K117" s="109"/>
      <c r="L117" s="109"/>
      <c r="M117" s="110"/>
      <c r="N117" s="110"/>
      <c r="O117" s="110"/>
      <c r="P117" s="110"/>
      <c r="Q117" s="110"/>
      <c r="R117" s="109"/>
      <c r="S117" s="109"/>
      <c r="T117" s="110"/>
      <c r="U117" s="110"/>
      <c r="V117" s="110"/>
      <c r="W117" s="110"/>
      <c r="X117" s="110"/>
      <c r="Y117" s="109"/>
      <c r="Z117" s="109"/>
      <c r="AA117" s="110"/>
      <c r="AB117" s="110"/>
      <c r="AC117" s="110"/>
      <c r="AD117" s="110"/>
      <c r="AE117" s="110"/>
      <c r="AF117" s="109"/>
      <c r="AG117" s="109"/>
      <c r="AH117" s="110"/>
      <c r="AI117" s="110"/>
      <c r="AJ117" s="110"/>
      <c r="AK117" s="110"/>
      <c r="AL117" s="110"/>
      <c r="AM117" s="109"/>
      <c r="AN117" s="109"/>
      <c r="AO117" s="110"/>
      <c r="AP117" s="110"/>
      <c r="AQ117" s="110"/>
      <c r="AR117" s="110"/>
      <c r="AS117" s="110"/>
      <c r="AT117" s="109"/>
      <c r="AU117" s="109"/>
      <c r="AV117" s="110"/>
      <c r="AW117" s="110"/>
      <c r="AX117" s="110"/>
      <c r="AY117" s="110"/>
      <c r="AZ117" s="110"/>
      <c r="BA117" s="109"/>
      <c r="BB117" s="109"/>
      <c r="BC117" s="110"/>
      <c r="BD117" s="110"/>
      <c r="BE117" s="110"/>
      <c r="BF117" s="110"/>
      <c r="BG117" s="110"/>
      <c r="BH117" s="109"/>
      <c r="BI117" s="109"/>
      <c r="BJ117" s="110"/>
      <c r="BK117" s="110"/>
      <c r="BL117" s="110"/>
      <c r="BM117" s="110"/>
      <c r="BN117" s="110"/>
      <c r="BO117" s="109"/>
      <c r="BP117" s="109"/>
      <c r="BQ117" s="110"/>
      <c r="BR117" s="131"/>
      <c r="BS117" s="131"/>
      <c r="BT117" s="131"/>
      <c r="BU117" s="131"/>
      <c r="BV117" s="131"/>
      <c r="BW117" s="131"/>
      <c r="BX117" s="131"/>
      <c r="BY117" s="110"/>
      <c r="BZ117" s="110"/>
      <c r="CA117" s="110"/>
      <c r="CB117" s="110"/>
    </row>
    <row r="118" ht="30.0" customHeight="1">
      <c r="A118" s="44"/>
      <c r="B118" s="113" t="s">
        <v>500</v>
      </c>
      <c r="C118" s="114" t="s">
        <v>501</v>
      </c>
      <c r="D118" s="121" t="s">
        <v>277</v>
      </c>
      <c r="E118" s="114" t="s">
        <v>502</v>
      </c>
      <c r="F118" s="116"/>
      <c r="G118" s="117">
        <v>46328.0</v>
      </c>
      <c r="H118" s="117">
        <v>46330.0</v>
      </c>
      <c r="I118" s="118">
        <v>0.0015</v>
      </c>
      <c r="J118" s="119">
        <v>0.0</v>
      </c>
      <c r="K118" s="109"/>
      <c r="L118" s="109"/>
      <c r="M118" s="110"/>
      <c r="N118" s="110"/>
      <c r="O118" s="110"/>
      <c r="P118" s="110"/>
      <c r="Q118" s="110"/>
      <c r="R118" s="109"/>
      <c r="S118" s="109"/>
      <c r="T118" s="110"/>
      <c r="U118" s="110"/>
      <c r="V118" s="110"/>
      <c r="W118" s="110"/>
      <c r="X118" s="110"/>
      <c r="Y118" s="109"/>
      <c r="Z118" s="109"/>
      <c r="AA118" s="110"/>
      <c r="AB118" s="110"/>
      <c r="AC118" s="110"/>
      <c r="AD118" s="110"/>
      <c r="AE118" s="110"/>
      <c r="AF118" s="109"/>
      <c r="AG118" s="109"/>
      <c r="AH118" s="110"/>
      <c r="AI118" s="110"/>
      <c r="AJ118" s="110"/>
      <c r="AK118" s="110"/>
      <c r="AL118" s="110"/>
      <c r="AM118" s="109"/>
      <c r="AN118" s="109"/>
      <c r="AO118" s="110"/>
      <c r="AP118" s="110"/>
      <c r="AQ118" s="110"/>
      <c r="AR118" s="110"/>
      <c r="AS118" s="110"/>
      <c r="AT118" s="109"/>
      <c r="AU118" s="109"/>
      <c r="AV118" s="110"/>
      <c r="AW118" s="110"/>
      <c r="AX118" s="110"/>
      <c r="AY118" s="110"/>
      <c r="AZ118" s="110"/>
      <c r="BA118" s="109"/>
      <c r="BB118" s="109"/>
      <c r="BC118" s="110"/>
      <c r="BD118" s="110"/>
      <c r="BE118" s="110"/>
      <c r="BF118" s="110"/>
      <c r="BG118" s="110"/>
      <c r="BH118" s="109"/>
      <c r="BI118" s="109"/>
      <c r="BJ118" s="110"/>
      <c r="BK118" s="110"/>
      <c r="BL118" s="110"/>
      <c r="BM118" s="110"/>
      <c r="BN118" s="110"/>
      <c r="BO118" s="109"/>
      <c r="BP118" s="109"/>
      <c r="BQ118" s="110"/>
      <c r="BR118" s="110"/>
      <c r="BS118" s="131"/>
      <c r="BT118" s="131"/>
      <c r="BU118" s="131"/>
      <c r="BV118" s="131"/>
      <c r="BW118" s="131"/>
      <c r="BX118" s="131"/>
      <c r="BY118" s="131"/>
      <c r="BZ118" s="110"/>
      <c r="CA118" s="110"/>
      <c r="CB118" s="110"/>
    </row>
    <row r="119" ht="30.0" customHeight="1">
      <c r="A119" s="44"/>
      <c r="B119" s="113" t="s">
        <v>503</v>
      </c>
      <c r="C119" s="114" t="s">
        <v>504</v>
      </c>
      <c r="D119" s="121" t="s">
        <v>277</v>
      </c>
      <c r="E119" s="114" t="s">
        <v>505</v>
      </c>
      <c r="F119" s="116"/>
      <c r="G119" s="117">
        <v>46328.0</v>
      </c>
      <c r="H119" s="117">
        <v>46330.0</v>
      </c>
      <c r="I119" s="118">
        <v>0.001</v>
      </c>
      <c r="J119" s="119">
        <v>0.0</v>
      </c>
      <c r="K119" s="109"/>
      <c r="L119" s="109"/>
      <c r="M119" s="110"/>
      <c r="N119" s="110"/>
      <c r="O119" s="110"/>
      <c r="P119" s="110"/>
      <c r="Q119" s="110"/>
      <c r="R119" s="109"/>
      <c r="S119" s="109"/>
      <c r="T119" s="110"/>
      <c r="U119" s="110"/>
      <c r="V119" s="110"/>
      <c r="W119" s="110"/>
      <c r="X119" s="110"/>
      <c r="Y119" s="109"/>
      <c r="Z119" s="109"/>
      <c r="AA119" s="110"/>
      <c r="AB119" s="110"/>
      <c r="AC119" s="110"/>
      <c r="AD119" s="110"/>
      <c r="AE119" s="110"/>
      <c r="AF119" s="109"/>
      <c r="AG119" s="109"/>
      <c r="AH119" s="110"/>
      <c r="AI119" s="110"/>
      <c r="AJ119" s="110"/>
      <c r="AK119" s="110"/>
      <c r="AL119" s="110"/>
      <c r="AM119" s="109"/>
      <c r="AN119" s="109"/>
      <c r="AO119" s="110"/>
      <c r="AP119" s="110"/>
      <c r="AQ119" s="110"/>
      <c r="AR119" s="110"/>
      <c r="AS119" s="110"/>
      <c r="AT119" s="109"/>
      <c r="AU119" s="109"/>
      <c r="AV119" s="110"/>
      <c r="AW119" s="110"/>
      <c r="AX119" s="110"/>
      <c r="AY119" s="110"/>
      <c r="AZ119" s="110"/>
      <c r="BA119" s="109"/>
      <c r="BB119" s="109"/>
      <c r="BC119" s="110"/>
      <c r="BD119" s="110"/>
      <c r="BE119" s="110"/>
      <c r="BF119" s="110"/>
      <c r="BG119" s="110"/>
      <c r="BH119" s="109"/>
      <c r="BI119" s="109"/>
      <c r="BJ119" s="110"/>
      <c r="BK119" s="110"/>
      <c r="BL119" s="110"/>
      <c r="BM119" s="110"/>
      <c r="BN119" s="110"/>
      <c r="BO119" s="109"/>
      <c r="BP119" s="109"/>
      <c r="BQ119" s="110"/>
      <c r="BR119" s="110"/>
      <c r="BS119" s="110"/>
      <c r="BT119" s="131"/>
      <c r="BU119" s="131"/>
      <c r="BV119" s="131"/>
      <c r="BW119" s="131"/>
      <c r="BX119" s="131"/>
      <c r="BY119" s="131"/>
      <c r="BZ119" s="110"/>
      <c r="CA119" s="110"/>
      <c r="CB119" s="110"/>
    </row>
    <row r="120" ht="30.0" customHeight="1">
      <c r="A120" s="44"/>
      <c r="B120" s="113" t="s">
        <v>506</v>
      </c>
      <c r="C120" s="114" t="s">
        <v>507</v>
      </c>
      <c r="D120" s="121" t="s">
        <v>277</v>
      </c>
      <c r="E120" s="114" t="s">
        <v>508</v>
      </c>
      <c r="F120" s="116"/>
      <c r="G120" s="117">
        <v>46314.0</v>
      </c>
      <c r="H120" s="117">
        <v>46317.0</v>
      </c>
      <c r="I120" s="118">
        <v>5.0E-4</v>
      </c>
      <c r="J120" s="119">
        <v>0.0</v>
      </c>
      <c r="K120" s="109"/>
      <c r="L120" s="109"/>
      <c r="M120" s="110"/>
      <c r="N120" s="110"/>
      <c r="O120" s="110"/>
      <c r="P120" s="110"/>
      <c r="Q120" s="110"/>
      <c r="R120" s="109"/>
      <c r="S120" s="109"/>
      <c r="T120" s="110"/>
      <c r="U120" s="110"/>
      <c r="V120" s="110"/>
      <c r="W120" s="110"/>
      <c r="X120" s="110"/>
      <c r="Y120" s="109"/>
      <c r="Z120" s="109"/>
      <c r="AA120" s="110"/>
      <c r="AB120" s="110"/>
      <c r="AC120" s="110"/>
      <c r="AD120" s="110"/>
      <c r="AE120" s="110"/>
      <c r="AF120" s="109"/>
      <c r="AG120" s="109"/>
      <c r="AH120" s="110"/>
      <c r="AI120" s="110"/>
      <c r="AJ120" s="110"/>
      <c r="AK120" s="110"/>
      <c r="AL120" s="110"/>
      <c r="AM120" s="109"/>
      <c r="AN120" s="109"/>
      <c r="AO120" s="110"/>
      <c r="AP120" s="110"/>
      <c r="AQ120" s="110"/>
      <c r="AR120" s="110"/>
      <c r="AS120" s="110"/>
      <c r="AT120" s="109"/>
      <c r="AU120" s="109"/>
      <c r="AV120" s="110"/>
      <c r="AW120" s="110"/>
      <c r="AX120" s="110"/>
      <c r="AY120" s="110"/>
      <c r="AZ120" s="110"/>
      <c r="BA120" s="109"/>
      <c r="BB120" s="109"/>
      <c r="BC120" s="110"/>
      <c r="BD120" s="110"/>
      <c r="BE120" s="110"/>
      <c r="BF120" s="110"/>
      <c r="BG120" s="110"/>
      <c r="BH120" s="109"/>
      <c r="BI120" s="109"/>
      <c r="BJ120" s="131"/>
      <c r="BK120" s="131"/>
      <c r="BL120" s="131"/>
      <c r="BM120" s="131"/>
      <c r="BN120" s="110"/>
      <c r="BO120" s="109"/>
      <c r="BP120" s="109"/>
      <c r="BQ120" s="110"/>
      <c r="BR120" s="110"/>
      <c r="BS120" s="110"/>
      <c r="BT120" s="110"/>
      <c r="BU120" s="110"/>
      <c r="BV120" s="109"/>
      <c r="BW120" s="109"/>
      <c r="BX120" s="110"/>
      <c r="BY120" s="110"/>
      <c r="BZ120" s="110"/>
      <c r="CA120" s="110"/>
      <c r="CB120" s="110"/>
    </row>
    <row r="121" ht="30.0" customHeight="1">
      <c r="A121" s="105"/>
      <c r="B121" s="103" t="s">
        <v>509</v>
      </c>
      <c r="C121" s="132" t="s">
        <v>510</v>
      </c>
      <c r="D121" s="104"/>
      <c r="E121" s="104" t="s">
        <v>511</v>
      </c>
      <c r="F121" s="104"/>
      <c r="G121" s="106">
        <f>MIN(G122:G126)</f>
        <v>46315</v>
      </c>
      <c r="H121" s="106">
        <f>MAX(H122:H126)</f>
        <v>46332</v>
      </c>
      <c r="I121" s="107">
        <f>SUM(I122:I127)</f>
        <v>0.04</v>
      </c>
      <c r="J121" s="108">
        <f>IFERROR((I122*J122+I123*J123+I124*J124+I125*J125+I126*J126)/SUM(I122:I126),0)</f>
        <v>0</v>
      </c>
      <c r="K121" s="109"/>
      <c r="L121" s="109"/>
      <c r="M121" s="110"/>
      <c r="N121" s="110"/>
      <c r="O121" s="110"/>
      <c r="P121" s="110"/>
      <c r="Q121" s="110"/>
      <c r="R121" s="109"/>
      <c r="S121" s="109"/>
      <c r="T121" s="110"/>
      <c r="U121" s="110"/>
      <c r="V121" s="110"/>
      <c r="W121" s="110"/>
      <c r="X121" s="110"/>
      <c r="Y121" s="109"/>
      <c r="Z121" s="109"/>
      <c r="AA121" s="110"/>
      <c r="AB121" s="110"/>
      <c r="AC121" s="110"/>
      <c r="AD121" s="110"/>
      <c r="AE121" s="110"/>
      <c r="AF121" s="109"/>
      <c r="AG121" s="109"/>
      <c r="AH121" s="110"/>
      <c r="AI121" s="110"/>
      <c r="AJ121" s="110"/>
      <c r="AK121" s="110"/>
      <c r="AL121" s="110"/>
      <c r="AM121" s="109"/>
      <c r="AN121" s="109"/>
      <c r="AO121" s="110"/>
      <c r="AP121" s="110"/>
      <c r="AQ121" s="110"/>
      <c r="AR121" s="110"/>
      <c r="AS121" s="110"/>
      <c r="AT121" s="109"/>
      <c r="AU121" s="109"/>
      <c r="AV121" s="110"/>
      <c r="AW121" s="110"/>
      <c r="AX121" s="110"/>
      <c r="AY121" s="110"/>
      <c r="AZ121" s="110"/>
      <c r="BA121" s="109"/>
      <c r="BB121" s="109"/>
      <c r="BC121" s="110"/>
      <c r="BD121" s="110"/>
      <c r="BE121" s="110"/>
      <c r="BF121" s="110"/>
      <c r="BG121" s="110"/>
      <c r="BH121" s="109"/>
      <c r="BI121" s="109"/>
      <c r="BJ121" s="112"/>
      <c r="BK121" s="112"/>
      <c r="BL121" s="112"/>
      <c r="BM121" s="112"/>
      <c r="BN121" s="112"/>
      <c r="BO121" s="112"/>
      <c r="BP121" s="112"/>
      <c r="BQ121" s="112"/>
      <c r="BR121" s="112"/>
      <c r="BS121" s="112"/>
      <c r="BT121" s="112"/>
      <c r="BU121" s="112"/>
      <c r="BV121" s="112"/>
      <c r="BW121" s="112"/>
      <c r="BX121" s="112"/>
      <c r="BY121" s="112"/>
      <c r="BZ121" s="112"/>
      <c r="CA121" s="112"/>
      <c r="CB121" s="112"/>
    </row>
    <row r="122" ht="30.0" customHeight="1">
      <c r="A122" s="44"/>
      <c r="B122" s="113" t="s">
        <v>512</v>
      </c>
      <c r="C122" s="114" t="s">
        <v>513</v>
      </c>
      <c r="D122" s="115" t="s">
        <v>514</v>
      </c>
      <c r="E122" s="114" t="s">
        <v>515</v>
      </c>
      <c r="F122" s="116"/>
      <c r="G122" s="117">
        <v>46315.0</v>
      </c>
      <c r="H122" s="117">
        <v>46322.0</v>
      </c>
      <c r="I122" s="118">
        <v>0.006</v>
      </c>
      <c r="J122" s="119">
        <v>0.0</v>
      </c>
      <c r="K122" s="109"/>
      <c r="L122" s="109"/>
      <c r="M122" s="110"/>
      <c r="N122" s="110"/>
      <c r="O122" s="110"/>
      <c r="P122" s="110"/>
      <c r="Q122" s="110"/>
      <c r="R122" s="109"/>
      <c r="S122" s="109"/>
      <c r="T122" s="110"/>
      <c r="U122" s="110"/>
      <c r="V122" s="110"/>
      <c r="W122" s="110"/>
      <c r="X122" s="110"/>
      <c r="Y122" s="109"/>
      <c r="Z122" s="109"/>
      <c r="AA122" s="110"/>
      <c r="AB122" s="110"/>
      <c r="AC122" s="110"/>
      <c r="AD122" s="110"/>
      <c r="AE122" s="110"/>
      <c r="AF122" s="109"/>
      <c r="AG122" s="109"/>
      <c r="AH122" s="110"/>
      <c r="AI122" s="110"/>
      <c r="AJ122" s="110"/>
      <c r="AK122" s="110"/>
      <c r="AL122" s="110"/>
      <c r="AM122" s="109"/>
      <c r="AN122" s="109"/>
      <c r="AO122" s="110"/>
      <c r="AP122" s="110"/>
      <c r="AQ122" s="110"/>
      <c r="AR122" s="110"/>
      <c r="AS122" s="110"/>
      <c r="AT122" s="109"/>
      <c r="AU122" s="109"/>
      <c r="AV122" s="110"/>
      <c r="AW122" s="110"/>
      <c r="AX122" s="110"/>
      <c r="AY122" s="110"/>
      <c r="AZ122" s="110"/>
      <c r="BA122" s="109"/>
      <c r="BB122" s="109"/>
      <c r="BC122" s="110"/>
      <c r="BD122" s="110"/>
      <c r="BE122" s="110"/>
      <c r="BF122" s="110"/>
      <c r="BG122" s="110"/>
      <c r="BH122" s="109"/>
      <c r="BI122" s="109"/>
      <c r="BJ122" s="123"/>
      <c r="BK122" s="123"/>
      <c r="BL122" s="123"/>
      <c r="BM122" s="123"/>
      <c r="BN122" s="123"/>
      <c r="BO122" s="109"/>
      <c r="BP122" s="109"/>
      <c r="BQ122" s="110"/>
      <c r="BR122" s="110"/>
      <c r="BS122" s="110"/>
      <c r="BT122" s="110"/>
      <c r="BU122" s="110"/>
      <c r="BV122" s="109"/>
      <c r="BW122" s="109"/>
      <c r="BX122" s="110"/>
      <c r="BY122" s="110"/>
      <c r="BZ122" s="110"/>
      <c r="CA122" s="110"/>
      <c r="CB122" s="110"/>
    </row>
    <row r="123" ht="30.0" customHeight="1">
      <c r="A123" s="44"/>
      <c r="B123" s="113" t="s">
        <v>516</v>
      </c>
      <c r="C123" s="114" t="s">
        <v>517</v>
      </c>
      <c r="D123" s="115" t="s">
        <v>514</v>
      </c>
      <c r="E123" s="114" t="s">
        <v>518</v>
      </c>
      <c r="F123" s="116"/>
      <c r="G123" s="117">
        <v>46325.0</v>
      </c>
      <c r="H123" s="117">
        <v>46330.0</v>
      </c>
      <c r="I123" s="118">
        <v>0.01</v>
      </c>
      <c r="J123" s="119">
        <v>0.0</v>
      </c>
      <c r="K123" s="109"/>
      <c r="L123" s="109"/>
      <c r="M123" s="110"/>
      <c r="N123" s="110"/>
      <c r="O123" s="110"/>
      <c r="P123" s="110"/>
      <c r="Q123" s="110"/>
      <c r="R123" s="109"/>
      <c r="S123" s="109"/>
      <c r="T123" s="110"/>
      <c r="U123" s="110"/>
      <c r="V123" s="110"/>
      <c r="W123" s="110"/>
      <c r="X123" s="110"/>
      <c r="Y123" s="109"/>
      <c r="Z123" s="109"/>
      <c r="AA123" s="110"/>
      <c r="AB123" s="110"/>
      <c r="AC123" s="110"/>
      <c r="AD123" s="110"/>
      <c r="AE123" s="110"/>
      <c r="AF123" s="109"/>
      <c r="AG123" s="109"/>
      <c r="AH123" s="110"/>
      <c r="AI123" s="110"/>
      <c r="AJ123" s="110"/>
      <c r="AK123" s="110"/>
      <c r="AL123" s="110"/>
      <c r="AM123" s="109"/>
      <c r="AN123" s="109"/>
      <c r="AO123" s="110"/>
      <c r="AP123" s="110"/>
      <c r="AQ123" s="110"/>
      <c r="AR123" s="110"/>
      <c r="AS123" s="110"/>
      <c r="AT123" s="109"/>
      <c r="AU123" s="109"/>
      <c r="AV123" s="110"/>
      <c r="AW123" s="110"/>
      <c r="AX123" s="110"/>
      <c r="AY123" s="110"/>
      <c r="AZ123" s="110"/>
      <c r="BA123" s="109"/>
      <c r="BB123" s="109"/>
      <c r="BC123" s="110"/>
      <c r="BD123" s="110"/>
      <c r="BE123" s="110"/>
      <c r="BF123" s="110"/>
      <c r="BG123" s="110"/>
      <c r="BH123" s="109"/>
      <c r="BI123" s="109"/>
      <c r="BJ123" s="110"/>
      <c r="BK123" s="110"/>
      <c r="BL123" s="110"/>
      <c r="BM123" s="110"/>
      <c r="BN123" s="110"/>
      <c r="BO123" s="109"/>
      <c r="BP123" s="109"/>
      <c r="BQ123" s="110"/>
      <c r="BR123" s="110"/>
      <c r="BS123" s="110"/>
      <c r="BT123" s="123"/>
      <c r="BU123" s="123"/>
      <c r="BV123" s="123"/>
      <c r="BW123" s="123"/>
      <c r="BX123" s="123"/>
      <c r="BY123" s="123"/>
      <c r="BZ123" s="110"/>
      <c r="CA123" s="110"/>
      <c r="CB123" s="110"/>
    </row>
    <row r="124" ht="30.0" customHeight="1">
      <c r="A124" s="44"/>
      <c r="B124" s="113" t="s">
        <v>519</v>
      </c>
      <c r="C124" s="114" t="s">
        <v>520</v>
      </c>
      <c r="D124" s="115" t="s">
        <v>514</v>
      </c>
      <c r="E124" s="114" t="s">
        <v>521</v>
      </c>
      <c r="F124" s="116"/>
      <c r="G124" s="117">
        <v>46329.0</v>
      </c>
      <c r="H124" s="117">
        <v>46331.0</v>
      </c>
      <c r="I124" s="118">
        <v>0.01</v>
      </c>
      <c r="J124" s="119">
        <v>0.0</v>
      </c>
      <c r="K124" s="109"/>
      <c r="L124" s="109"/>
      <c r="M124" s="110"/>
      <c r="N124" s="110"/>
      <c r="O124" s="110"/>
      <c r="P124" s="110"/>
      <c r="Q124" s="110"/>
      <c r="R124" s="109"/>
      <c r="S124" s="109"/>
      <c r="T124" s="110"/>
      <c r="U124" s="110"/>
      <c r="V124" s="110"/>
      <c r="W124" s="110"/>
      <c r="X124" s="110"/>
      <c r="Y124" s="109"/>
      <c r="Z124" s="109"/>
      <c r="AA124" s="110"/>
      <c r="AB124" s="110"/>
      <c r="AC124" s="110"/>
      <c r="AD124" s="110"/>
      <c r="AE124" s="110"/>
      <c r="AF124" s="109"/>
      <c r="AG124" s="109"/>
      <c r="AH124" s="110"/>
      <c r="AI124" s="110"/>
      <c r="AJ124" s="110"/>
      <c r="AK124" s="110"/>
      <c r="AL124" s="110"/>
      <c r="AM124" s="109"/>
      <c r="AN124" s="109"/>
      <c r="AO124" s="110"/>
      <c r="AP124" s="110"/>
      <c r="AQ124" s="110"/>
      <c r="AR124" s="110"/>
      <c r="AS124" s="110"/>
      <c r="AT124" s="109"/>
      <c r="AU124" s="109"/>
      <c r="AV124" s="110"/>
      <c r="AW124" s="110"/>
      <c r="AX124" s="110"/>
      <c r="AY124" s="110"/>
      <c r="AZ124" s="110"/>
      <c r="BA124" s="109"/>
      <c r="BB124" s="109"/>
      <c r="BC124" s="110"/>
      <c r="BD124" s="110"/>
      <c r="BE124" s="110"/>
      <c r="BF124" s="110"/>
      <c r="BG124" s="110"/>
      <c r="BH124" s="109"/>
      <c r="BI124" s="109"/>
      <c r="BJ124" s="110"/>
      <c r="BK124" s="110"/>
      <c r="BL124" s="110"/>
      <c r="BM124" s="110"/>
      <c r="BN124" s="110"/>
      <c r="BO124" s="109"/>
      <c r="BP124" s="109"/>
      <c r="BQ124" s="110"/>
      <c r="BR124" s="110"/>
      <c r="BS124" s="110"/>
      <c r="BT124" s="123"/>
      <c r="BU124" s="123"/>
      <c r="BV124" s="123"/>
      <c r="BW124" s="123"/>
      <c r="BX124" s="123"/>
      <c r="BY124" s="123"/>
      <c r="BZ124" s="123"/>
      <c r="CA124" s="110"/>
      <c r="CB124" s="110"/>
    </row>
    <row r="125" ht="30.0" customHeight="1">
      <c r="A125" s="44"/>
      <c r="B125" s="113" t="s">
        <v>522</v>
      </c>
      <c r="C125" s="133" t="s">
        <v>523</v>
      </c>
      <c r="D125" s="115" t="s">
        <v>524</v>
      </c>
      <c r="E125" s="114" t="s">
        <v>525</v>
      </c>
      <c r="F125" s="116"/>
      <c r="G125" s="117">
        <v>46330.0</v>
      </c>
      <c r="H125" s="117">
        <v>46331.0</v>
      </c>
      <c r="I125" s="118">
        <v>0.004</v>
      </c>
      <c r="J125" s="119">
        <v>0.0</v>
      </c>
      <c r="K125" s="109"/>
      <c r="L125" s="109"/>
      <c r="M125" s="110"/>
      <c r="N125" s="110"/>
      <c r="O125" s="110"/>
      <c r="P125" s="110"/>
      <c r="Q125" s="110"/>
      <c r="R125" s="109"/>
      <c r="S125" s="109"/>
      <c r="T125" s="110"/>
      <c r="U125" s="110"/>
      <c r="V125" s="110"/>
      <c r="W125" s="110"/>
      <c r="X125" s="110"/>
      <c r="Y125" s="109"/>
      <c r="Z125" s="109"/>
      <c r="AA125" s="110"/>
      <c r="AB125" s="110"/>
      <c r="AC125" s="110"/>
      <c r="AD125" s="110"/>
      <c r="AE125" s="110"/>
      <c r="AF125" s="109"/>
      <c r="AG125" s="109"/>
      <c r="AH125" s="110"/>
      <c r="AI125" s="110"/>
      <c r="AJ125" s="110"/>
      <c r="AK125" s="110"/>
      <c r="AL125" s="110"/>
      <c r="AM125" s="109"/>
      <c r="AN125" s="109"/>
      <c r="AO125" s="110"/>
      <c r="AP125" s="110"/>
      <c r="AQ125" s="110"/>
      <c r="AR125" s="110"/>
      <c r="AS125" s="110"/>
      <c r="AT125" s="109"/>
      <c r="AU125" s="109"/>
      <c r="AV125" s="110"/>
      <c r="AW125" s="110"/>
      <c r="AX125" s="110"/>
      <c r="AY125" s="110"/>
      <c r="AZ125" s="110"/>
      <c r="BA125" s="109"/>
      <c r="BB125" s="109"/>
      <c r="BC125" s="110"/>
      <c r="BD125" s="110"/>
      <c r="BE125" s="110"/>
      <c r="BF125" s="110"/>
      <c r="BG125" s="110"/>
      <c r="BH125" s="109"/>
      <c r="BI125" s="109"/>
      <c r="BJ125" s="110"/>
      <c r="BK125" s="110"/>
      <c r="BL125" s="110"/>
      <c r="BM125" s="110"/>
      <c r="BN125" s="110"/>
      <c r="BO125" s="109"/>
      <c r="BP125" s="109"/>
      <c r="BQ125" s="110"/>
      <c r="BR125" s="110"/>
      <c r="BS125" s="110"/>
      <c r="BT125" s="110"/>
      <c r="BU125" s="110"/>
      <c r="BV125" s="109"/>
      <c r="BW125" s="109"/>
      <c r="BX125" s="123"/>
      <c r="BY125" s="123"/>
      <c r="BZ125" s="123"/>
      <c r="CA125" s="110"/>
      <c r="CB125" s="110"/>
    </row>
    <row r="126" ht="30.0" customHeight="1">
      <c r="A126" s="44"/>
      <c r="B126" s="113" t="s">
        <v>526</v>
      </c>
      <c r="C126" s="133" t="s">
        <v>527</v>
      </c>
      <c r="D126" s="115" t="s">
        <v>528</v>
      </c>
      <c r="E126" s="114" t="s">
        <v>529</v>
      </c>
      <c r="F126" s="116"/>
      <c r="G126" s="117">
        <v>46331.0</v>
      </c>
      <c r="H126" s="117">
        <v>46332.0</v>
      </c>
      <c r="I126" s="118">
        <v>0.005</v>
      </c>
      <c r="J126" s="119">
        <v>0.0</v>
      </c>
      <c r="K126" s="109"/>
      <c r="L126" s="109"/>
      <c r="M126" s="110"/>
      <c r="N126" s="110"/>
      <c r="O126" s="110"/>
      <c r="P126" s="110"/>
      <c r="Q126" s="110"/>
      <c r="R126" s="109"/>
      <c r="S126" s="109"/>
      <c r="T126" s="110"/>
      <c r="U126" s="110"/>
      <c r="V126" s="110"/>
      <c r="W126" s="110"/>
      <c r="X126" s="110"/>
      <c r="Y126" s="109"/>
      <c r="Z126" s="109"/>
      <c r="AA126" s="110"/>
      <c r="AB126" s="110"/>
      <c r="AC126" s="110"/>
      <c r="AD126" s="110"/>
      <c r="AE126" s="110"/>
      <c r="AF126" s="109"/>
      <c r="AG126" s="109"/>
      <c r="AH126" s="110"/>
      <c r="AI126" s="110"/>
      <c r="AJ126" s="110"/>
      <c r="AK126" s="110"/>
      <c r="AL126" s="110"/>
      <c r="AM126" s="109"/>
      <c r="AN126" s="109"/>
      <c r="AO126" s="110"/>
      <c r="AP126" s="110"/>
      <c r="AQ126" s="110"/>
      <c r="AR126" s="110"/>
      <c r="AS126" s="110"/>
      <c r="AT126" s="109"/>
      <c r="AU126" s="109"/>
      <c r="AV126" s="110"/>
      <c r="AW126" s="110"/>
      <c r="AX126" s="110"/>
      <c r="AY126" s="110"/>
      <c r="AZ126" s="110"/>
      <c r="BA126" s="109"/>
      <c r="BB126" s="109"/>
      <c r="BC126" s="110"/>
      <c r="BD126" s="110"/>
      <c r="BE126" s="110"/>
      <c r="BF126" s="110"/>
      <c r="BG126" s="110"/>
      <c r="BH126" s="109"/>
      <c r="BI126" s="109"/>
      <c r="BJ126" s="110"/>
      <c r="BK126" s="110"/>
      <c r="BL126" s="110"/>
      <c r="BM126" s="110"/>
      <c r="BN126" s="110"/>
      <c r="BO126" s="109"/>
      <c r="BP126" s="109"/>
      <c r="BQ126" s="110"/>
      <c r="BR126" s="110"/>
      <c r="BS126" s="110"/>
      <c r="BT126" s="110"/>
      <c r="BU126" s="110"/>
      <c r="BV126" s="109"/>
      <c r="BW126" s="109"/>
      <c r="BX126" s="110"/>
      <c r="BY126" s="110"/>
      <c r="BZ126" s="123"/>
      <c r="CA126" s="123"/>
      <c r="CB126" s="123"/>
    </row>
    <row r="127" ht="30.0" customHeight="1">
      <c r="A127" s="44"/>
      <c r="B127" s="134" t="s">
        <v>530</v>
      </c>
      <c r="C127" s="133" t="s">
        <v>531</v>
      </c>
      <c r="D127" s="135" t="s">
        <v>532</v>
      </c>
      <c r="E127" s="114"/>
      <c r="F127" s="116"/>
      <c r="G127" s="117">
        <v>46328.0</v>
      </c>
      <c r="H127" s="117">
        <v>46332.0</v>
      </c>
      <c r="I127" s="118">
        <v>0.005</v>
      </c>
      <c r="J127" s="119">
        <v>0.0</v>
      </c>
      <c r="K127" s="109"/>
      <c r="L127" s="109"/>
      <c r="M127" s="110"/>
      <c r="N127" s="110"/>
      <c r="O127" s="110"/>
      <c r="P127" s="110"/>
      <c r="Q127" s="110"/>
      <c r="R127" s="109"/>
      <c r="S127" s="109"/>
      <c r="T127" s="110"/>
      <c r="U127" s="110"/>
      <c r="V127" s="110"/>
      <c r="W127" s="110"/>
      <c r="X127" s="110"/>
      <c r="Y127" s="109"/>
      <c r="Z127" s="109"/>
      <c r="AA127" s="110"/>
      <c r="AB127" s="110"/>
      <c r="AC127" s="110"/>
      <c r="AD127" s="110"/>
      <c r="AE127" s="110"/>
      <c r="AF127" s="109"/>
      <c r="AG127" s="109"/>
      <c r="AH127" s="110"/>
      <c r="AI127" s="110"/>
      <c r="AJ127" s="110"/>
      <c r="AK127" s="110"/>
      <c r="AL127" s="110"/>
      <c r="AM127" s="109"/>
      <c r="AN127" s="109"/>
      <c r="AO127" s="110"/>
      <c r="AP127" s="110"/>
      <c r="AQ127" s="110"/>
      <c r="AR127" s="110"/>
      <c r="AS127" s="110"/>
      <c r="AT127" s="109"/>
      <c r="AU127" s="109"/>
      <c r="AV127" s="110"/>
      <c r="AW127" s="110"/>
      <c r="AX127" s="110"/>
      <c r="AY127" s="110"/>
      <c r="AZ127" s="110"/>
      <c r="BA127" s="109"/>
      <c r="BB127" s="109"/>
      <c r="BC127" s="110"/>
      <c r="BD127" s="110"/>
      <c r="BE127" s="110"/>
      <c r="BF127" s="110"/>
      <c r="BG127" s="110"/>
      <c r="BH127" s="109"/>
      <c r="BI127" s="109"/>
      <c r="BJ127" s="110"/>
      <c r="BK127" s="110"/>
      <c r="BL127" s="110"/>
      <c r="BM127" s="110"/>
      <c r="BN127" s="110"/>
      <c r="BO127" s="109"/>
      <c r="BP127" s="109"/>
      <c r="BQ127" s="110"/>
      <c r="BR127" s="110"/>
      <c r="BS127" s="110"/>
      <c r="BT127" s="110"/>
      <c r="BU127" s="110"/>
      <c r="BV127" s="109"/>
      <c r="BW127" s="109"/>
      <c r="BX127" s="110"/>
      <c r="BY127" s="110"/>
      <c r="BZ127" s="123"/>
      <c r="CA127" s="123"/>
      <c r="CB127" s="123"/>
    </row>
    <row r="128" ht="15.75" customHeight="1">
      <c r="I128" s="6"/>
    </row>
    <row r="129" ht="15.75" customHeight="1">
      <c r="I129" s="6"/>
    </row>
    <row r="130" ht="15.75" customHeight="1">
      <c r="I130" s="6"/>
    </row>
    <row r="131" ht="15.75" customHeight="1">
      <c r="I131" s="6"/>
    </row>
    <row r="132" ht="15.75" customHeight="1">
      <c r="I132" s="6"/>
    </row>
    <row r="133" ht="15.75" customHeight="1">
      <c r="I133" s="6"/>
    </row>
    <row r="134" ht="15.75" customHeight="1">
      <c r="I134" s="6"/>
    </row>
    <row r="135" ht="15.75" customHeight="1">
      <c r="I135" s="6"/>
    </row>
    <row r="136" ht="15.75" customHeight="1">
      <c r="I136" s="6"/>
    </row>
    <row r="137" ht="15.75" customHeight="1">
      <c r="I137" s="6"/>
    </row>
    <row r="138" ht="15.75" customHeight="1">
      <c r="I138" s="6"/>
    </row>
    <row r="139" ht="15.75" customHeight="1">
      <c r="I139" s="6"/>
    </row>
    <row r="140" ht="15.75" customHeight="1">
      <c r="I140" s="6"/>
    </row>
    <row r="141" ht="15.75" customHeight="1">
      <c r="I141" s="6"/>
    </row>
    <row r="142" ht="15.75" customHeight="1">
      <c r="I142" s="6"/>
    </row>
    <row r="143" ht="15.75" customHeight="1">
      <c r="I143" s="6"/>
    </row>
    <row r="144" ht="15.75" customHeight="1">
      <c r="I144" s="6"/>
    </row>
    <row r="145" ht="15.75" customHeight="1">
      <c r="I145" s="6"/>
    </row>
    <row r="146" ht="15.75" customHeight="1">
      <c r="I146" s="6"/>
    </row>
    <row r="147" ht="15.75" customHeight="1">
      <c r="I147" s="6"/>
    </row>
    <row r="148" ht="15.75" customHeight="1">
      <c r="I148" s="6"/>
    </row>
    <row r="149" ht="15.75" customHeight="1">
      <c r="I149" s="6"/>
    </row>
    <row r="150" ht="15.75" customHeight="1">
      <c r="I150" s="6"/>
    </row>
    <row r="151" ht="15.75" customHeight="1">
      <c r="I151" s="6"/>
    </row>
    <row r="152" ht="15.75" customHeight="1">
      <c r="I152" s="6"/>
    </row>
    <row r="153" ht="15.75" customHeight="1">
      <c r="I153" s="6"/>
    </row>
    <row r="154" ht="15.75" customHeight="1">
      <c r="I154" s="6"/>
    </row>
    <row r="155" ht="15.75" customHeight="1">
      <c r="I155" s="6"/>
    </row>
    <row r="156" ht="15.75" customHeight="1">
      <c r="I156" s="6"/>
    </row>
    <row r="157" ht="15.75" customHeight="1">
      <c r="I157" s="6"/>
    </row>
    <row r="158" ht="15.75" customHeight="1">
      <c r="I158" s="6"/>
    </row>
    <row r="159" ht="15.75" customHeight="1">
      <c r="I159" s="6"/>
    </row>
    <row r="160" ht="15.75" customHeight="1">
      <c r="I160" s="6"/>
    </row>
    <row r="161" ht="15.75" customHeight="1">
      <c r="I161" s="6"/>
    </row>
    <row r="162" ht="15.75" customHeight="1">
      <c r="I162" s="6"/>
    </row>
    <row r="163" ht="15.75" customHeight="1">
      <c r="I163" s="6"/>
    </row>
    <row r="164" ht="15.75" customHeight="1">
      <c r="I164" s="6"/>
    </row>
    <row r="165" ht="15.75" customHeight="1">
      <c r="I165" s="6"/>
    </row>
    <row r="166" ht="15.75" customHeight="1">
      <c r="I166" s="6"/>
    </row>
    <row r="167" ht="15.75" customHeight="1">
      <c r="I167" s="6"/>
    </row>
    <row r="168" ht="15.75" customHeight="1">
      <c r="I168" s="6"/>
    </row>
    <row r="169" ht="15.75" customHeight="1">
      <c r="I169" s="6"/>
    </row>
    <row r="170" ht="15.75" customHeight="1">
      <c r="I170" s="6"/>
    </row>
    <row r="171" ht="15.75" customHeight="1">
      <c r="I171" s="6"/>
    </row>
    <row r="172" ht="15.75" customHeight="1">
      <c r="I172" s="6"/>
    </row>
    <row r="173" ht="15.75" customHeight="1">
      <c r="I173" s="6"/>
    </row>
    <row r="174" ht="15.75" customHeight="1">
      <c r="I174" s="6"/>
    </row>
    <row r="175" ht="15.75" customHeight="1">
      <c r="I175" s="6"/>
    </row>
    <row r="176" ht="15.75" customHeight="1">
      <c r="I176" s="6"/>
    </row>
    <row r="177" ht="15.75" customHeight="1">
      <c r="I177" s="6"/>
    </row>
    <row r="178" ht="15.75" customHeight="1">
      <c r="I178" s="6"/>
    </row>
    <row r="179" ht="15.75" customHeight="1">
      <c r="I179" s="6"/>
    </row>
    <row r="180" ht="15.75" customHeight="1">
      <c r="I180" s="6"/>
    </row>
    <row r="181" ht="15.75" customHeight="1">
      <c r="I181" s="6"/>
    </row>
    <row r="182" ht="15.75" customHeight="1">
      <c r="I182" s="6"/>
    </row>
    <row r="183" ht="15.75" customHeight="1">
      <c r="I183" s="6"/>
    </row>
    <row r="184" ht="15.75" customHeight="1">
      <c r="I184" s="6"/>
    </row>
    <row r="185" ht="15.75" customHeight="1">
      <c r="I185" s="6"/>
    </row>
    <row r="186" ht="15.75" customHeight="1">
      <c r="I186" s="6"/>
    </row>
    <row r="187" ht="15.75" customHeight="1">
      <c r="I187" s="6"/>
    </row>
    <row r="188" ht="15.75" customHeight="1">
      <c r="I188" s="6"/>
    </row>
    <row r="189" ht="15.75" customHeight="1">
      <c r="I189" s="6"/>
    </row>
    <row r="190" ht="15.75" customHeight="1">
      <c r="I190" s="6"/>
    </row>
    <row r="191" ht="15.75" customHeight="1">
      <c r="I191" s="6"/>
    </row>
    <row r="192" ht="15.75" customHeight="1">
      <c r="I192" s="6"/>
    </row>
    <row r="193" ht="15.75" customHeight="1">
      <c r="I193" s="6"/>
    </row>
    <row r="194" ht="15.75" customHeight="1">
      <c r="I194" s="6"/>
    </row>
    <row r="195" ht="15.75" customHeight="1">
      <c r="I195" s="6"/>
    </row>
    <row r="196" ht="15.75" customHeight="1">
      <c r="I196" s="6"/>
    </row>
    <row r="197" ht="15.75" customHeight="1">
      <c r="I197" s="6"/>
    </row>
    <row r="198" ht="15.75" customHeight="1">
      <c r="I198" s="6"/>
    </row>
    <row r="199" ht="15.75" customHeight="1">
      <c r="I199" s="6"/>
    </row>
    <row r="200" ht="15.75" customHeight="1">
      <c r="I200" s="6"/>
    </row>
    <row r="201" ht="15.75" customHeight="1">
      <c r="I201" s="6"/>
    </row>
    <row r="202" ht="15.75" customHeight="1">
      <c r="I202" s="6"/>
    </row>
    <row r="203" ht="15.75" customHeight="1">
      <c r="I203" s="6"/>
    </row>
    <row r="204" ht="15.75" customHeight="1">
      <c r="I204" s="6"/>
    </row>
    <row r="205" ht="15.75" customHeight="1">
      <c r="I205" s="6"/>
    </row>
    <row r="206" ht="15.75" customHeight="1">
      <c r="I206" s="6"/>
    </row>
    <row r="207" ht="15.75" customHeight="1">
      <c r="I207" s="6"/>
    </row>
    <row r="208" ht="15.75" customHeight="1">
      <c r="I208" s="6"/>
    </row>
    <row r="209" ht="15.75" customHeight="1">
      <c r="I209" s="6"/>
    </row>
    <row r="210" ht="15.75" customHeight="1">
      <c r="I210" s="6"/>
    </row>
    <row r="211" ht="15.75" customHeight="1">
      <c r="I211" s="6"/>
    </row>
    <row r="212" ht="15.75" customHeight="1">
      <c r="I212" s="6"/>
    </row>
    <row r="213" ht="15.75" customHeight="1">
      <c r="I213" s="6"/>
    </row>
    <row r="214" ht="15.75" customHeight="1">
      <c r="I214" s="6"/>
    </row>
    <row r="215" ht="15.75" customHeight="1">
      <c r="I215" s="6"/>
    </row>
    <row r="216" ht="15.75" customHeight="1">
      <c r="I216" s="6"/>
    </row>
    <row r="217" ht="15.75" customHeight="1">
      <c r="I217" s="6"/>
    </row>
    <row r="218" ht="15.75" customHeight="1">
      <c r="I218" s="6"/>
    </row>
    <row r="219" ht="15.75" customHeight="1">
      <c r="I219" s="6"/>
    </row>
    <row r="220" ht="15.75" customHeight="1">
      <c r="I220" s="6"/>
    </row>
    <row r="221" ht="15.75" customHeight="1">
      <c r="I221" s="6"/>
    </row>
    <row r="222" ht="15.75" customHeight="1">
      <c r="I222" s="6"/>
    </row>
    <row r="223" ht="15.75" customHeight="1">
      <c r="I223" s="6"/>
    </row>
    <row r="224" ht="15.75" customHeight="1">
      <c r="I224" s="6"/>
    </row>
    <row r="225" ht="15.75" customHeight="1">
      <c r="I225" s="6"/>
    </row>
    <row r="226" ht="15.75" customHeight="1">
      <c r="I226" s="6"/>
    </row>
    <row r="227" ht="15.75" customHeight="1">
      <c r="I227" s="6"/>
    </row>
    <row r="228" ht="15.75" customHeight="1">
      <c r="I228" s="6"/>
    </row>
    <row r="229" ht="15.75" customHeight="1">
      <c r="I229" s="6"/>
    </row>
    <row r="230" ht="15.75" customHeight="1">
      <c r="I230" s="6"/>
    </row>
    <row r="231" ht="15.75" customHeight="1">
      <c r="I231" s="6"/>
    </row>
    <row r="232" ht="15.75" customHeight="1">
      <c r="I232" s="6"/>
    </row>
    <row r="233" ht="15.75" customHeight="1">
      <c r="I233" s="6"/>
    </row>
    <row r="234" ht="15.75" customHeight="1">
      <c r="I234" s="6"/>
    </row>
    <row r="235" ht="15.75" customHeight="1">
      <c r="I235" s="6"/>
    </row>
    <row r="236" ht="15.75" customHeight="1">
      <c r="I236" s="6"/>
    </row>
    <row r="237" ht="15.75" customHeight="1">
      <c r="I237" s="6"/>
    </row>
    <row r="238" ht="15.75" customHeight="1">
      <c r="I238" s="6"/>
    </row>
    <row r="239" ht="15.75" customHeight="1">
      <c r="I239" s="6"/>
    </row>
    <row r="240" ht="15.75" customHeight="1">
      <c r="I240" s="6"/>
    </row>
    <row r="241" ht="15.75" customHeight="1">
      <c r="I241" s="6"/>
    </row>
    <row r="242" ht="15.75" customHeight="1">
      <c r="I242" s="6"/>
    </row>
    <row r="243" ht="15.75" customHeight="1">
      <c r="I243" s="6"/>
    </row>
    <row r="244" ht="15.75" customHeight="1">
      <c r="I244" s="6"/>
    </row>
    <row r="245" ht="15.75" customHeight="1">
      <c r="I245" s="6"/>
    </row>
    <row r="246" ht="15.75" customHeight="1">
      <c r="I246" s="6"/>
    </row>
    <row r="247" ht="15.75" customHeight="1">
      <c r="I247" s="6"/>
    </row>
    <row r="248" ht="15.75" customHeight="1">
      <c r="I248" s="6"/>
    </row>
    <row r="249" ht="15.75" customHeight="1">
      <c r="I249" s="6"/>
    </row>
    <row r="250" ht="15.75" customHeight="1">
      <c r="I250" s="6"/>
    </row>
    <row r="251" ht="15.75" customHeight="1">
      <c r="I251" s="6"/>
    </row>
    <row r="252" ht="15.75" customHeight="1">
      <c r="I252" s="6"/>
    </row>
    <row r="253" ht="15.75" customHeight="1">
      <c r="I253" s="6"/>
    </row>
    <row r="254" ht="15.75" customHeight="1">
      <c r="I254" s="6"/>
    </row>
    <row r="255" ht="15.75" customHeight="1">
      <c r="I255" s="6"/>
    </row>
    <row r="256" ht="15.75" customHeight="1">
      <c r="I256" s="6"/>
    </row>
    <row r="257" ht="15.75" customHeight="1">
      <c r="I257" s="6"/>
    </row>
    <row r="258" ht="15.75" customHeight="1">
      <c r="I258" s="6"/>
    </row>
    <row r="259" ht="15.75" customHeight="1">
      <c r="I259" s="6"/>
    </row>
    <row r="260" ht="15.75" customHeight="1">
      <c r="I260" s="6"/>
    </row>
    <row r="261" ht="15.75" customHeight="1">
      <c r="I261" s="6"/>
    </row>
    <row r="262" ht="15.75" customHeight="1">
      <c r="I262" s="6"/>
    </row>
    <row r="263" ht="15.75" customHeight="1">
      <c r="I263" s="6"/>
    </row>
    <row r="264" ht="15.75" customHeight="1">
      <c r="I264" s="6"/>
    </row>
    <row r="265" ht="15.75" customHeight="1">
      <c r="I265" s="6"/>
    </row>
    <row r="266" ht="15.75" customHeight="1">
      <c r="I266" s="6"/>
    </row>
    <row r="267" ht="15.75" customHeight="1">
      <c r="I267" s="6"/>
    </row>
    <row r="268" ht="15.75" customHeight="1">
      <c r="I268" s="6"/>
    </row>
    <row r="269" ht="15.75" customHeight="1">
      <c r="I269" s="6"/>
    </row>
    <row r="270" ht="15.75" customHeight="1">
      <c r="I270" s="6"/>
    </row>
    <row r="271" ht="15.75" customHeight="1">
      <c r="I271" s="6"/>
    </row>
    <row r="272" ht="15.75" customHeight="1">
      <c r="I272" s="6"/>
    </row>
    <row r="273" ht="15.75" customHeight="1">
      <c r="I273" s="6"/>
    </row>
    <row r="274" ht="15.75" customHeight="1">
      <c r="I274" s="6"/>
    </row>
    <row r="275" ht="15.75" customHeight="1">
      <c r="I275" s="6"/>
    </row>
    <row r="276" ht="15.75" customHeight="1">
      <c r="I276" s="6"/>
    </row>
    <row r="277" ht="15.75" customHeight="1">
      <c r="I277" s="6"/>
    </row>
    <row r="278" ht="15.75" customHeight="1">
      <c r="I278" s="6"/>
    </row>
    <row r="279" ht="15.75" customHeight="1">
      <c r="I279" s="6"/>
    </row>
    <row r="280" ht="15.75" customHeight="1">
      <c r="I280" s="6"/>
    </row>
    <row r="281" ht="15.75" customHeight="1">
      <c r="I281" s="6"/>
    </row>
    <row r="282" ht="15.75" customHeight="1">
      <c r="I282" s="6"/>
    </row>
    <row r="283" ht="15.75" customHeight="1">
      <c r="I283" s="6"/>
    </row>
    <row r="284" ht="15.75" customHeight="1">
      <c r="I284" s="6"/>
    </row>
    <row r="285" ht="15.75" customHeight="1">
      <c r="I285" s="6"/>
    </row>
    <row r="286" ht="15.75" customHeight="1">
      <c r="I286" s="6"/>
    </row>
    <row r="287" ht="15.75" customHeight="1">
      <c r="I287" s="6"/>
    </row>
    <row r="288" ht="15.75" customHeight="1">
      <c r="I288" s="6"/>
    </row>
    <row r="289" ht="15.75" customHeight="1">
      <c r="I289" s="6"/>
    </row>
    <row r="290" ht="15.75" customHeight="1">
      <c r="I290" s="6"/>
    </row>
    <row r="291" ht="15.75" customHeight="1">
      <c r="I291" s="6"/>
    </row>
    <row r="292" ht="15.75" customHeight="1">
      <c r="I292" s="6"/>
    </row>
    <row r="293" ht="15.75" customHeight="1">
      <c r="I293" s="6"/>
    </row>
    <row r="294" ht="15.75" customHeight="1">
      <c r="I294" s="6"/>
    </row>
    <row r="295" ht="15.75" customHeight="1">
      <c r="I295" s="6"/>
    </row>
    <row r="296" ht="15.75" customHeight="1">
      <c r="I296" s="6"/>
    </row>
    <row r="297" ht="15.75" customHeight="1">
      <c r="I297" s="6"/>
    </row>
    <row r="298" ht="15.75" customHeight="1">
      <c r="I298" s="6"/>
    </row>
    <row r="299" ht="15.75" customHeight="1">
      <c r="I299" s="6"/>
    </row>
    <row r="300" ht="15.75" customHeight="1">
      <c r="I300" s="6"/>
    </row>
    <row r="301" ht="15.75" customHeight="1">
      <c r="I301" s="6"/>
    </row>
    <row r="302" ht="15.75" customHeight="1">
      <c r="I302" s="6"/>
    </row>
    <row r="303" ht="15.75" customHeight="1">
      <c r="I303" s="6"/>
    </row>
    <row r="304" ht="15.75" customHeight="1">
      <c r="I304" s="6"/>
    </row>
    <row r="305" ht="15.75" customHeight="1">
      <c r="I305" s="6"/>
    </row>
    <row r="306" ht="15.75" customHeight="1">
      <c r="I306" s="6"/>
    </row>
    <row r="307" ht="15.75" customHeight="1">
      <c r="I307" s="6"/>
    </row>
    <row r="308" ht="15.75" customHeight="1">
      <c r="I308" s="6"/>
    </row>
    <row r="309" ht="15.75" customHeight="1">
      <c r="I309" s="6"/>
    </row>
    <row r="310" ht="15.75" customHeight="1">
      <c r="I310" s="6"/>
    </row>
    <row r="311" ht="15.75" customHeight="1">
      <c r="I311" s="6"/>
    </row>
    <row r="312" ht="15.75" customHeight="1">
      <c r="I312" s="6"/>
    </row>
    <row r="313" ht="15.75" customHeight="1">
      <c r="I313" s="6"/>
    </row>
    <row r="314" ht="15.75" customHeight="1">
      <c r="I314" s="6"/>
    </row>
    <row r="315" ht="15.75" customHeight="1">
      <c r="I315" s="6"/>
    </row>
    <row r="316" ht="15.75" customHeight="1">
      <c r="I316" s="6"/>
    </row>
    <row r="317" ht="15.75" customHeight="1">
      <c r="I317" s="6"/>
    </row>
    <row r="318" ht="15.75" customHeight="1">
      <c r="I318" s="6"/>
    </row>
    <row r="319" ht="15.75" customHeight="1">
      <c r="I319" s="6"/>
    </row>
    <row r="320" ht="15.75" customHeight="1">
      <c r="I320" s="6"/>
    </row>
    <row r="321" ht="15.75" customHeight="1">
      <c r="I321" s="6"/>
    </row>
    <row r="322" ht="15.75" customHeight="1">
      <c r="I322" s="6"/>
    </row>
    <row r="323" ht="15.75" customHeight="1">
      <c r="I323" s="6"/>
    </row>
    <row r="324" ht="15.75" customHeight="1">
      <c r="I324" s="6"/>
    </row>
    <row r="325" ht="15.75" customHeight="1">
      <c r="I325" s="6"/>
    </row>
    <row r="326" ht="15.75" customHeight="1">
      <c r="I326" s="6"/>
    </row>
    <row r="327" ht="15.75" customHeight="1">
      <c r="I327" s="6"/>
    </row>
    <row r="328" ht="15.75" customHeight="1">
      <c r="I328" s="6"/>
    </row>
    <row r="329" ht="15.75" customHeight="1">
      <c r="I329" s="6"/>
    </row>
    <row r="330" ht="15.75" customHeight="1">
      <c r="I330" s="6"/>
    </row>
    <row r="331" ht="15.75" customHeight="1">
      <c r="I331" s="6"/>
    </row>
    <row r="332" ht="15.75" customHeight="1">
      <c r="I332" s="6"/>
    </row>
    <row r="333" ht="15.75" customHeight="1">
      <c r="I333" s="6"/>
    </row>
    <row r="334" ht="15.75" customHeight="1">
      <c r="I334" s="6"/>
    </row>
    <row r="335" ht="15.75" customHeight="1">
      <c r="I335" s="6"/>
    </row>
    <row r="336" ht="15.75" customHeight="1">
      <c r="I336" s="6"/>
    </row>
    <row r="337" ht="15.75" customHeight="1">
      <c r="I337" s="6"/>
    </row>
    <row r="338" ht="15.75" customHeight="1">
      <c r="I338" s="6"/>
    </row>
    <row r="339" ht="15.75" customHeight="1">
      <c r="I339" s="6"/>
    </row>
    <row r="340" ht="15.75" customHeight="1">
      <c r="I340" s="6"/>
    </row>
    <row r="341" ht="15.75" customHeight="1">
      <c r="I341" s="6"/>
    </row>
    <row r="342" ht="15.75" customHeight="1">
      <c r="I342" s="6"/>
    </row>
    <row r="343" ht="15.75" customHeight="1">
      <c r="I343" s="6"/>
    </row>
    <row r="344" ht="15.75" customHeight="1">
      <c r="I344" s="6"/>
    </row>
    <row r="345" ht="15.75" customHeight="1">
      <c r="I345" s="6"/>
    </row>
    <row r="346" ht="15.75" customHeight="1">
      <c r="I346" s="6"/>
    </row>
    <row r="347" ht="15.75" customHeight="1">
      <c r="I347" s="6"/>
    </row>
    <row r="348" ht="15.75" customHeight="1">
      <c r="I348" s="6"/>
    </row>
    <row r="349" ht="15.75" customHeight="1">
      <c r="I349" s="6"/>
    </row>
    <row r="350" ht="15.75" customHeight="1">
      <c r="I350" s="6"/>
    </row>
    <row r="351" ht="15.75" customHeight="1">
      <c r="I351" s="6"/>
    </row>
    <row r="352" ht="15.75" customHeight="1">
      <c r="I352" s="6"/>
    </row>
    <row r="353" ht="15.75" customHeight="1">
      <c r="I353" s="6"/>
    </row>
    <row r="354" ht="15.75" customHeight="1">
      <c r="I354" s="6"/>
    </row>
    <row r="355" ht="15.75" customHeight="1">
      <c r="I355" s="6"/>
    </row>
    <row r="356" ht="15.75" customHeight="1">
      <c r="I356" s="6"/>
    </row>
    <row r="357" ht="15.75" customHeight="1">
      <c r="I357" s="6"/>
    </row>
    <row r="358" ht="15.75" customHeight="1">
      <c r="I358" s="6"/>
    </row>
    <row r="359" ht="15.75" customHeight="1">
      <c r="I359" s="6"/>
    </row>
    <row r="360" ht="15.75" customHeight="1">
      <c r="I360" s="6"/>
    </row>
    <row r="361" ht="15.75" customHeight="1">
      <c r="I361" s="6"/>
    </row>
    <row r="362" ht="15.75" customHeight="1">
      <c r="I362" s="6"/>
    </row>
    <row r="363" ht="15.75" customHeight="1">
      <c r="I363" s="6"/>
    </row>
    <row r="364" ht="15.75" customHeight="1">
      <c r="I364" s="6"/>
    </row>
    <row r="365" ht="15.75" customHeight="1">
      <c r="I365" s="6"/>
    </row>
    <row r="366" ht="15.75" customHeight="1">
      <c r="I366" s="6"/>
    </row>
    <row r="367" ht="15.75" customHeight="1">
      <c r="I367" s="6"/>
    </row>
    <row r="368" ht="15.75" customHeight="1">
      <c r="I368" s="6"/>
    </row>
    <row r="369" ht="15.75" customHeight="1">
      <c r="I369" s="6"/>
    </row>
    <row r="370" ht="15.75" customHeight="1">
      <c r="I370" s="6"/>
    </row>
    <row r="371" ht="15.75" customHeight="1">
      <c r="I371" s="6"/>
    </row>
    <row r="372" ht="15.75" customHeight="1">
      <c r="I372" s="6"/>
    </row>
    <row r="373" ht="15.75" customHeight="1">
      <c r="I373" s="6"/>
    </row>
    <row r="374" ht="15.75" customHeight="1">
      <c r="I374" s="6"/>
    </row>
    <row r="375" ht="15.75" customHeight="1">
      <c r="I375" s="6"/>
    </row>
    <row r="376" ht="15.75" customHeight="1">
      <c r="I376" s="6"/>
    </row>
    <row r="377" ht="15.75" customHeight="1">
      <c r="I377" s="6"/>
    </row>
    <row r="378" ht="15.75" customHeight="1">
      <c r="I378" s="6"/>
    </row>
    <row r="379" ht="15.75" customHeight="1">
      <c r="I379" s="6"/>
    </row>
    <row r="380" ht="15.75" customHeight="1">
      <c r="I380" s="6"/>
    </row>
    <row r="381" ht="15.75" customHeight="1">
      <c r="I381" s="6"/>
    </row>
    <row r="382" ht="15.75" customHeight="1">
      <c r="I382" s="6"/>
    </row>
    <row r="383" ht="15.75" customHeight="1">
      <c r="I383" s="6"/>
    </row>
    <row r="384" ht="15.75" customHeight="1">
      <c r="I384" s="6"/>
    </row>
    <row r="385" ht="15.75" customHeight="1">
      <c r="I385" s="6"/>
    </row>
    <row r="386" ht="15.75" customHeight="1">
      <c r="I386" s="6"/>
    </row>
    <row r="387" ht="15.75" customHeight="1">
      <c r="I387" s="6"/>
    </row>
    <row r="388" ht="15.75" customHeight="1">
      <c r="I388" s="6"/>
    </row>
    <row r="389" ht="15.75" customHeight="1">
      <c r="I389" s="6"/>
    </row>
    <row r="390" ht="15.75" customHeight="1">
      <c r="I390" s="6"/>
    </row>
    <row r="391" ht="15.75" customHeight="1">
      <c r="I391" s="6"/>
    </row>
    <row r="392" ht="15.75" customHeight="1">
      <c r="I392" s="6"/>
    </row>
    <row r="393" ht="15.75" customHeight="1">
      <c r="I393" s="6"/>
    </row>
    <row r="394" ht="15.75" customHeight="1">
      <c r="I394" s="6"/>
    </row>
    <row r="395" ht="15.75" customHeight="1">
      <c r="I395" s="6"/>
    </row>
    <row r="396" ht="15.75" customHeight="1">
      <c r="I396" s="6"/>
    </row>
    <row r="397" ht="15.75" customHeight="1">
      <c r="I397" s="6"/>
    </row>
    <row r="398" ht="15.75" customHeight="1">
      <c r="I398" s="6"/>
    </row>
    <row r="399" ht="15.75" customHeight="1">
      <c r="I399" s="6"/>
    </row>
    <row r="400" ht="15.75" customHeight="1">
      <c r="I400" s="6"/>
    </row>
    <row r="401" ht="15.75" customHeight="1">
      <c r="I401" s="6"/>
    </row>
    <row r="402" ht="15.75" customHeight="1">
      <c r="I402" s="6"/>
    </row>
    <row r="403" ht="15.75" customHeight="1">
      <c r="I403" s="6"/>
    </row>
    <row r="404" ht="15.75" customHeight="1">
      <c r="I404" s="6"/>
    </row>
    <row r="405" ht="15.75" customHeight="1">
      <c r="I405" s="6"/>
    </row>
    <row r="406" ht="15.75" customHeight="1">
      <c r="I406" s="6"/>
    </row>
    <row r="407" ht="15.75" customHeight="1">
      <c r="I407" s="6"/>
    </row>
    <row r="408" ht="15.75" customHeight="1">
      <c r="I408" s="6"/>
    </row>
    <row r="409" ht="15.75" customHeight="1">
      <c r="I409" s="6"/>
    </row>
    <row r="410" ht="15.75" customHeight="1">
      <c r="I410" s="6"/>
    </row>
    <row r="411" ht="15.75" customHeight="1">
      <c r="I411" s="6"/>
    </row>
    <row r="412" ht="15.75" customHeight="1">
      <c r="I412" s="6"/>
    </row>
    <row r="413" ht="15.75" customHeight="1">
      <c r="I413" s="6"/>
    </row>
    <row r="414" ht="15.75" customHeight="1">
      <c r="I414" s="6"/>
    </row>
    <row r="415" ht="15.75" customHeight="1">
      <c r="I415" s="6"/>
    </row>
    <row r="416" ht="15.75" customHeight="1">
      <c r="I416" s="6"/>
    </row>
    <row r="417" ht="15.75" customHeight="1">
      <c r="I417" s="6"/>
    </row>
    <row r="418" ht="15.75" customHeight="1">
      <c r="I418" s="6"/>
    </row>
    <row r="419" ht="15.75" customHeight="1">
      <c r="I419" s="6"/>
    </row>
    <row r="420" ht="15.75" customHeight="1">
      <c r="I420" s="6"/>
    </row>
    <row r="421" ht="15.75" customHeight="1">
      <c r="I421" s="6"/>
    </row>
    <row r="422" ht="15.75" customHeight="1">
      <c r="I422" s="6"/>
    </row>
    <row r="423" ht="15.75" customHeight="1">
      <c r="I423" s="6"/>
    </row>
    <row r="424" ht="15.75" customHeight="1">
      <c r="I424" s="6"/>
    </row>
    <row r="425" ht="15.75" customHeight="1">
      <c r="I425" s="6"/>
    </row>
    <row r="426" ht="15.75" customHeight="1">
      <c r="I426" s="6"/>
    </row>
    <row r="427" ht="15.75" customHeight="1">
      <c r="I427" s="6"/>
    </row>
    <row r="428" ht="15.75" customHeight="1">
      <c r="I428" s="6"/>
    </row>
    <row r="429" ht="15.75" customHeight="1">
      <c r="I429" s="6"/>
    </row>
    <row r="430" ht="15.75" customHeight="1">
      <c r="I430" s="6"/>
    </row>
    <row r="431" ht="15.75" customHeight="1">
      <c r="I431" s="6"/>
    </row>
    <row r="432" ht="15.75" customHeight="1">
      <c r="I432" s="6"/>
    </row>
    <row r="433" ht="15.75" customHeight="1">
      <c r="I433" s="6"/>
    </row>
    <row r="434" ht="15.75" customHeight="1">
      <c r="I434" s="6"/>
    </row>
    <row r="435" ht="15.75" customHeight="1">
      <c r="I435" s="6"/>
    </row>
    <row r="436" ht="15.75" customHeight="1">
      <c r="I436" s="6"/>
    </row>
    <row r="437" ht="15.75" customHeight="1">
      <c r="I437" s="6"/>
    </row>
    <row r="438" ht="15.75" customHeight="1">
      <c r="I438" s="6"/>
    </row>
    <row r="439" ht="15.75" customHeight="1">
      <c r="I439" s="6"/>
    </row>
    <row r="440" ht="15.75" customHeight="1">
      <c r="I440" s="6"/>
    </row>
    <row r="441" ht="15.75" customHeight="1">
      <c r="I441" s="6"/>
    </row>
    <row r="442" ht="15.75" customHeight="1">
      <c r="I442" s="6"/>
    </row>
    <row r="443" ht="15.75" customHeight="1">
      <c r="I443" s="6"/>
    </row>
    <row r="444" ht="15.75" customHeight="1">
      <c r="I444" s="6"/>
    </row>
    <row r="445" ht="15.75" customHeight="1">
      <c r="I445" s="6"/>
    </row>
    <row r="446" ht="15.75" customHeight="1">
      <c r="I446" s="6"/>
    </row>
    <row r="447" ht="15.75" customHeight="1">
      <c r="I447" s="6"/>
    </row>
    <row r="448" ht="15.75" customHeight="1">
      <c r="I448" s="6"/>
    </row>
    <row r="449" ht="15.75" customHeight="1">
      <c r="I449" s="6"/>
    </row>
    <row r="450" ht="15.75" customHeight="1">
      <c r="I450" s="6"/>
    </row>
    <row r="451" ht="15.75" customHeight="1">
      <c r="I451" s="6"/>
    </row>
    <row r="452" ht="15.75" customHeight="1">
      <c r="I452" s="6"/>
    </row>
    <row r="453" ht="15.75" customHeight="1">
      <c r="I453" s="6"/>
    </row>
    <row r="454" ht="15.75" customHeight="1">
      <c r="I454" s="6"/>
    </row>
    <row r="455" ht="15.75" customHeight="1">
      <c r="I455" s="6"/>
    </row>
    <row r="456" ht="15.75" customHeight="1">
      <c r="I456" s="6"/>
    </row>
    <row r="457" ht="15.75" customHeight="1">
      <c r="I457" s="6"/>
    </row>
    <row r="458" ht="15.75" customHeight="1">
      <c r="I458" s="6"/>
    </row>
    <row r="459" ht="15.75" customHeight="1">
      <c r="I459" s="6"/>
    </row>
    <row r="460" ht="15.75" customHeight="1">
      <c r="I460" s="6"/>
    </row>
    <row r="461" ht="15.75" customHeight="1">
      <c r="I461" s="6"/>
    </row>
    <row r="462" ht="15.75" customHeight="1">
      <c r="I462" s="6"/>
    </row>
    <row r="463" ht="15.75" customHeight="1">
      <c r="I463" s="6"/>
    </row>
    <row r="464" ht="15.75" customHeight="1">
      <c r="I464" s="6"/>
    </row>
    <row r="465" ht="15.75" customHeight="1">
      <c r="I465" s="6"/>
    </row>
    <row r="466" ht="15.75" customHeight="1">
      <c r="I466" s="6"/>
    </row>
    <row r="467" ht="15.75" customHeight="1">
      <c r="I467" s="6"/>
    </row>
    <row r="468" ht="15.75" customHeight="1">
      <c r="I468" s="6"/>
    </row>
    <row r="469" ht="15.75" customHeight="1">
      <c r="I469" s="6"/>
    </row>
    <row r="470" ht="15.75" customHeight="1">
      <c r="I470" s="6"/>
    </row>
    <row r="471" ht="15.75" customHeight="1">
      <c r="I471" s="6"/>
    </row>
    <row r="472" ht="15.75" customHeight="1">
      <c r="I472" s="6"/>
    </row>
    <row r="473" ht="15.75" customHeight="1">
      <c r="I473" s="6"/>
    </row>
    <row r="474" ht="15.75" customHeight="1">
      <c r="I474" s="6"/>
    </row>
    <row r="475" ht="15.75" customHeight="1">
      <c r="I475" s="6"/>
    </row>
    <row r="476" ht="15.75" customHeight="1">
      <c r="I476" s="6"/>
    </row>
    <row r="477" ht="15.75" customHeight="1">
      <c r="I477" s="6"/>
    </row>
    <row r="478" ht="15.75" customHeight="1">
      <c r="I478" s="6"/>
    </row>
    <row r="479" ht="15.75" customHeight="1">
      <c r="I479" s="6"/>
    </row>
    <row r="480" ht="15.75" customHeight="1">
      <c r="I480" s="6"/>
    </row>
    <row r="481" ht="15.75" customHeight="1">
      <c r="I481" s="6"/>
    </row>
    <row r="482" ht="15.75" customHeight="1">
      <c r="I482" s="6"/>
    </row>
    <row r="483" ht="15.75" customHeight="1">
      <c r="I483" s="6"/>
    </row>
    <row r="484" ht="15.75" customHeight="1">
      <c r="I484" s="6"/>
    </row>
    <row r="485" ht="15.75" customHeight="1">
      <c r="I485" s="6"/>
    </row>
    <row r="486" ht="15.75" customHeight="1">
      <c r="I486" s="6"/>
    </row>
    <row r="487" ht="15.75" customHeight="1">
      <c r="I487" s="6"/>
    </row>
    <row r="488" ht="15.75" customHeight="1">
      <c r="I488" s="6"/>
    </row>
    <row r="489" ht="15.75" customHeight="1">
      <c r="I489" s="6"/>
    </row>
    <row r="490" ht="15.75" customHeight="1">
      <c r="I490" s="6"/>
    </row>
    <row r="491" ht="15.75" customHeight="1">
      <c r="I491" s="6"/>
    </row>
    <row r="492" ht="15.75" customHeight="1">
      <c r="I492" s="6"/>
    </row>
    <row r="493" ht="15.75" customHeight="1">
      <c r="I493" s="6"/>
    </row>
    <row r="494" ht="15.75" customHeight="1">
      <c r="I494" s="6"/>
    </row>
    <row r="495" ht="15.75" customHeight="1">
      <c r="I495" s="6"/>
    </row>
    <row r="496" ht="15.75" customHeight="1">
      <c r="I496" s="6"/>
    </row>
    <row r="497" ht="15.75" customHeight="1">
      <c r="I497" s="6"/>
    </row>
    <row r="498" ht="15.75" customHeight="1">
      <c r="I498" s="6"/>
    </row>
    <row r="499" ht="15.75" customHeight="1">
      <c r="I499" s="6"/>
    </row>
    <row r="500" ht="15.75" customHeight="1">
      <c r="I500" s="6"/>
    </row>
    <row r="501" ht="15.75" customHeight="1">
      <c r="I501" s="6"/>
    </row>
    <row r="502" ht="15.75" customHeight="1">
      <c r="I502" s="6"/>
    </row>
    <row r="503" ht="15.75" customHeight="1">
      <c r="I503" s="6"/>
    </row>
    <row r="504" ht="15.75" customHeight="1">
      <c r="I504" s="6"/>
    </row>
    <row r="505" ht="15.75" customHeight="1">
      <c r="I505" s="6"/>
    </row>
    <row r="506" ht="15.75" customHeight="1">
      <c r="I506" s="6"/>
    </row>
    <row r="507" ht="15.75" customHeight="1">
      <c r="I507" s="6"/>
    </row>
    <row r="508" ht="15.75" customHeight="1">
      <c r="I508" s="6"/>
    </row>
    <row r="509" ht="15.75" customHeight="1">
      <c r="I509" s="6"/>
    </row>
    <row r="510" ht="15.75" customHeight="1">
      <c r="I510" s="6"/>
    </row>
    <row r="511" ht="15.75" customHeight="1">
      <c r="I511" s="6"/>
    </row>
    <row r="512" ht="15.75" customHeight="1">
      <c r="I512" s="6"/>
    </row>
    <row r="513" ht="15.75" customHeight="1">
      <c r="I513" s="6"/>
    </row>
    <row r="514" ht="15.75" customHeight="1">
      <c r="I514" s="6"/>
    </row>
    <row r="515" ht="15.75" customHeight="1">
      <c r="I515" s="6"/>
    </row>
    <row r="516" ht="15.75" customHeight="1">
      <c r="I516" s="6"/>
    </row>
    <row r="517" ht="15.75" customHeight="1">
      <c r="I517" s="6"/>
    </row>
    <row r="518" ht="15.75" customHeight="1">
      <c r="I518" s="6"/>
    </row>
    <row r="519" ht="15.75" customHeight="1">
      <c r="I519" s="6"/>
    </row>
    <row r="520" ht="15.75" customHeight="1">
      <c r="I520" s="6"/>
    </row>
    <row r="521" ht="15.75" customHeight="1">
      <c r="I521" s="6"/>
    </row>
    <row r="522" ht="15.75" customHeight="1">
      <c r="I522" s="6"/>
    </row>
    <row r="523" ht="15.75" customHeight="1">
      <c r="I523" s="6"/>
    </row>
    <row r="524" ht="15.75" customHeight="1">
      <c r="I524" s="6"/>
    </row>
    <row r="525" ht="15.75" customHeight="1">
      <c r="I525" s="6"/>
    </row>
    <row r="526" ht="15.75" customHeight="1">
      <c r="I526" s="6"/>
    </row>
    <row r="527" ht="15.75" customHeight="1">
      <c r="I527" s="6"/>
    </row>
    <row r="528" ht="15.75" customHeight="1">
      <c r="I528" s="6"/>
    </row>
    <row r="529" ht="15.75" customHeight="1">
      <c r="I529" s="6"/>
    </row>
    <row r="530" ht="15.75" customHeight="1">
      <c r="I530" s="6"/>
    </row>
    <row r="531" ht="15.75" customHeight="1">
      <c r="I531" s="6"/>
    </row>
    <row r="532" ht="15.75" customHeight="1">
      <c r="I532" s="6"/>
    </row>
    <row r="533" ht="15.75" customHeight="1">
      <c r="I533" s="6"/>
    </row>
    <row r="534" ht="15.75" customHeight="1">
      <c r="I534" s="6"/>
    </row>
    <row r="535" ht="15.75" customHeight="1">
      <c r="I535" s="6"/>
    </row>
    <row r="536" ht="15.75" customHeight="1">
      <c r="I536" s="6"/>
    </row>
    <row r="537" ht="15.75" customHeight="1">
      <c r="I537" s="6"/>
    </row>
    <row r="538" ht="15.75" customHeight="1">
      <c r="I538" s="6"/>
    </row>
    <row r="539" ht="15.75" customHeight="1">
      <c r="I539" s="6"/>
    </row>
    <row r="540" ht="15.75" customHeight="1">
      <c r="I540" s="6"/>
    </row>
    <row r="541" ht="15.75" customHeight="1">
      <c r="I541" s="6"/>
    </row>
    <row r="542" ht="15.75" customHeight="1">
      <c r="I542" s="6"/>
    </row>
    <row r="543" ht="15.75" customHeight="1">
      <c r="I543" s="6"/>
    </row>
    <row r="544" ht="15.75" customHeight="1">
      <c r="I544" s="6"/>
    </row>
    <row r="545" ht="15.75" customHeight="1">
      <c r="I545" s="6"/>
    </row>
    <row r="546" ht="15.75" customHeight="1">
      <c r="I546" s="6"/>
    </row>
    <row r="547" ht="15.75" customHeight="1">
      <c r="I547" s="6"/>
    </row>
    <row r="548" ht="15.75" customHeight="1">
      <c r="I548" s="6"/>
    </row>
    <row r="549" ht="15.75" customHeight="1">
      <c r="I549" s="6"/>
    </row>
    <row r="550" ht="15.75" customHeight="1">
      <c r="I550" s="6"/>
    </row>
    <row r="551" ht="15.75" customHeight="1">
      <c r="I551" s="6"/>
    </row>
    <row r="552" ht="15.75" customHeight="1">
      <c r="I552" s="6"/>
    </row>
    <row r="553" ht="15.75" customHeight="1">
      <c r="I553" s="6"/>
    </row>
    <row r="554" ht="15.75" customHeight="1">
      <c r="I554" s="6"/>
    </row>
    <row r="555" ht="15.75" customHeight="1">
      <c r="I555" s="6"/>
    </row>
    <row r="556" ht="15.75" customHeight="1">
      <c r="I556" s="6"/>
    </row>
    <row r="557" ht="15.75" customHeight="1">
      <c r="I557" s="6"/>
    </row>
    <row r="558" ht="15.75" customHeight="1">
      <c r="I558" s="6"/>
    </row>
    <row r="559" ht="15.75" customHeight="1">
      <c r="I559" s="6"/>
    </row>
    <row r="560" ht="15.75" customHeight="1">
      <c r="I560" s="6"/>
    </row>
    <row r="561" ht="15.75" customHeight="1">
      <c r="I561" s="6"/>
    </row>
    <row r="562" ht="15.75" customHeight="1">
      <c r="I562" s="6"/>
    </row>
    <row r="563" ht="15.75" customHeight="1">
      <c r="I563" s="6"/>
    </row>
    <row r="564" ht="15.75" customHeight="1">
      <c r="I564" s="6"/>
    </row>
    <row r="565" ht="15.75" customHeight="1">
      <c r="I565" s="6"/>
    </row>
    <row r="566" ht="15.75" customHeight="1">
      <c r="I566" s="6"/>
    </row>
    <row r="567" ht="15.75" customHeight="1">
      <c r="I567" s="6"/>
    </row>
    <row r="568" ht="15.75" customHeight="1">
      <c r="I568" s="6"/>
    </row>
    <row r="569" ht="15.75" customHeight="1">
      <c r="I569" s="6"/>
    </row>
    <row r="570" ht="15.75" customHeight="1">
      <c r="I570" s="6"/>
    </row>
    <row r="571" ht="15.75" customHeight="1">
      <c r="I571" s="6"/>
    </row>
    <row r="572" ht="15.75" customHeight="1">
      <c r="I572" s="6"/>
    </row>
    <row r="573" ht="15.75" customHeight="1">
      <c r="I573" s="6"/>
    </row>
    <row r="574" ht="15.75" customHeight="1">
      <c r="I574" s="6"/>
    </row>
    <row r="575" ht="15.75" customHeight="1">
      <c r="I575" s="6"/>
    </row>
    <row r="576" ht="15.75" customHeight="1">
      <c r="I576" s="6"/>
    </row>
    <row r="577" ht="15.75" customHeight="1">
      <c r="I577" s="6"/>
    </row>
    <row r="578" ht="15.75" customHeight="1">
      <c r="I578" s="6"/>
    </row>
    <row r="579" ht="15.75" customHeight="1">
      <c r="I579" s="6"/>
    </row>
    <row r="580" ht="15.75" customHeight="1">
      <c r="I580" s="6"/>
    </row>
    <row r="581" ht="15.75" customHeight="1">
      <c r="I581" s="6"/>
    </row>
    <row r="582" ht="15.75" customHeight="1">
      <c r="I582" s="6"/>
    </row>
    <row r="583" ht="15.75" customHeight="1">
      <c r="I583" s="6"/>
    </row>
    <row r="584" ht="15.75" customHeight="1">
      <c r="I584" s="6"/>
    </row>
    <row r="585" ht="15.75" customHeight="1">
      <c r="I585" s="6"/>
    </row>
    <row r="586" ht="15.75" customHeight="1">
      <c r="I586" s="6"/>
    </row>
    <row r="587" ht="15.75" customHeight="1">
      <c r="I587" s="6"/>
    </row>
    <row r="588" ht="15.75" customHeight="1">
      <c r="I588" s="6"/>
    </row>
    <row r="589" ht="15.75" customHeight="1">
      <c r="I589" s="6"/>
    </row>
    <row r="590" ht="15.75" customHeight="1">
      <c r="I590" s="6"/>
    </row>
    <row r="591" ht="15.75" customHeight="1">
      <c r="I591" s="6"/>
    </row>
    <row r="592" ht="15.75" customHeight="1">
      <c r="I592" s="6"/>
    </row>
    <row r="593" ht="15.75" customHeight="1">
      <c r="I593" s="6"/>
    </row>
    <row r="594" ht="15.75" customHeight="1">
      <c r="I594" s="6"/>
    </row>
    <row r="595" ht="15.75" customHeight="1">
      <c r="I595" s="6"/>
    </row>
    <row r="596" ht="15.75" customHeight="1">
      <c r="I596" s="6"/>
    </row>
    <row r="597" ht="15.75" customHeight="1">
      <c r="I597" s="6"/>
    </row>
    <row r="598" ht="15.75" customHeight="1">
      <c r="I598" s="6"/>
    </row>
    <row r="599" ht="15.75" customHeight="1">
      <c r="I599" s="6"/>
    </row>
    <row r="600" ht="15.75" customHeight="1">
      <c r="I600" s="6"/>
    </row>
    <row r="601" ht="15.75" customHeight="1">
      <c r="I601" s="6"/>
    </row>
    <row r="602" ht="15.75" customHeight="1">
      <c r="I602" s="6"/>
    </row>
    <row r="603" ht="15.75" customHeight="1">
      <c r="I603" s="6"/>
    </row>
    <row r="604" ht="15.75" customHeight="1">
      <c r="I604" s="6"/>
    </row>
    <row r="605" ht="15.75" customHeight="1">
      <c r="I605" s="6"/>
    </row>
    <row r="606" ht="15.75" customHeight="1">
      <c r="I606" s="6"/>
    </row>
    <row r="607" ht="15.75" customHeight="1">
      <c r="I607" s="6"/>
    </row>
    <row r="608" ht="15.75" customHeight="1">
      <c r="I608" s="6"/>
    </row>
    <row r="609" ht="15.75" customHeight="1">
      <c r="I609" s="6"/>
    </row>
    <row r="610" ht="15.75" customHeight="1">
      <c r="I610" s="6"/>
    </row>
    <row r="611" ht="15.75" customHeight="1">
      <c r="I611" s="6"/>
    </row>
    <row r="612" ht="15.75" customHeight="1">
      <c r="I612" s="6"/>
    </row>
    <row r="613" ht="15.75" customHeight="1">
      <c r="I613" s="6"/>
    </row>
    <row r="614" ht="15.75" customHeight="1">
      <c r="I614" s="6"/>
    </row>
    <row r="615" ht="15.75" customHeight="1">
      <c r="I615" s="6"/>
    </row>
    <row r="616" ht="15.75" customHeight="1">
      <c r="I616" s="6"/>
    </row>
    <row r="617" ht="15.75" customHeight="1">
      <c r="I617" s="6"/>
    </row>
    <row r="618" ht="15.75" customHeight="1">
      <c r="I618" s="6"/>
    </row>
    <row r="619" ht="15.75" customHeight="1">
      <c r="I619" s="6"/>
    </row>
    <row r="620" ht="15.75" customHeight="1">
      <c r="I620" s="6"/>
    </row>
    <row r="621" ht="15.75" customHeight="1">
      <c r="I621" s="6"/>
    </row>
    <row r="622" ht="15.75" customHeight="1">
      <c r="I622" s="6"/>
    </row>
    <row r="623" ht="15.75" customHeight="1">
      <c r="I623" s="6"/>
    </row>
    <row r="624" ht="15.75" customHeight="1">
      <c r="I624" s="6"/>
    </row>
    <row r="625" ht="15.75" customHeight="1">
      <c r="I625" s="6"/>
    </row>
    <row r="626" ht="15.75" customHeight="1">
      <c r="I626" s="6"/>
    </row>
    <row r="627" ht="15.75" customHeight="1">
      <c r="I627" s="6"/>
    </row>
    <row r="628" ht="15.75" customHeight="1">
      <c r="I628" s="6"/>
    </row>
    <row r="629" ht="15.75" customHeight="1">
      <c r="I629" s="6"/>
    </row>
    <row r="630" ht="15.75" customHeight="1">
      <c r="I630" s="6"/>
    </row>
    <row r="631" ht="15.75" customHeight="1">
      <c r="I631" s="6"/>
    </row>
    <row r="632" ht="15.75" customHeight="1">
      <c r="I632" s="6"/>
    </row>
    <row r="633" ht="15.75" customHeight="1">
      <c r="I633" s="6"/>
    </row>
    <row r="634" ht="15.75" customHeight="1">
      <c r="I634" s="6"/>
    </row>
    <row r="635" ht="15.75" customHeight="1">
      <c r="I635" s="6"/>
    </row>
    <row r="636" ht="15.75" customHeight="1">
      <c r="I636" s="6"/>
    </row>
    <row r="637" ht="15.75" customHeight="1">
      <c r="I637" s="6"/>
    </row>
    <row r="638" ht="15.75" customHeight="1">
      <c r="I638" s="6"/>
    </row>
    <row r="639" ht="15.75" customHeight="1">
      <c r="I639" s="6"/>
    </row>
    <row r="640" ht="15.75" customHeight="1">
      <c r="I640" s="6"/>
    </row>
    <row r="641" ht="15.75" customHeight="1">
      <c r="I641" s="6"/>
    </row>
    <row r="642" ht="15.75" customHeight="1">
      <c r="I642" s="6"/>
    </row>
    <row r="643" ht="15.75" customHeight="1">
      <c r="I643" s="6"/>
    </row>
    <row r="644" ht="15.75" customHeight="1">
      <c r="I644" s="6"/>
    </row>
    <row r="645" ht="15.75" customHeight="1">
      <c r="I645" s="6"/>
    </row>
    <row r="646" ht="15.75" customHeight="1">
      <c r="I646" s="6"/>
    </row>
    <row r="647" ht="15.75" customHeight="1">
      <c r="I647" s="6"/>
    </row>
    <row r="648" ht="15.75" customHeight="1">
      <c r="I648" s="6"/>
    </row>
    <row r="649" ht="15.75" customHeight="1">
      <c r="I649" s="6"/>
    </row>
    <row r="650" ht="15.75" customHeight="1">
      <c r="I650" s="6"/>
    </row>
    <row r="651" ht="15.75" customHeight="1">
      <c r="I651" s="6"/>
    </row>
    <row r="652" ht="15.75" customHeight="1">
      <c r="I652" s="6"/>
    </row>
    <row r="653" ht="15.75" customHeight="1">
      <c r="I653" s="6"/>
    </row>
    <row r="654" ht="15.75" customHeight="1">
      <c r="I654" s="6"/>
    </row>
    <row r="655" ht="15.75" customHeight="1">
      <c r="I655" s="6"/>
    </row>
    <row r="656" ht="15.75" customHeight="1">
      <c r="I656" s="6"/>
    </row>
    <row r="657" ht="15.75" customHeight="1">
      <c r="I657" s="6"/>
    </row>
    <row r="658" ht="15.75" customHeight="1">
      <c r="I658" s="6"/>
    </row>
    <row r="659" ht="15.75" customHeight="1">
      <c r="I659" s="6"/>
    </row>
    <row r="660" ht="15.75" customHeight="1">
      <c r="I660" s="6"/>
    </row>
    <row r="661" ht="15.75" customHeight="1">
      <c r="I661" s="6"/>
    </row>
    <row r="662" ht="15.75" customHeight="1">
      <c r="I662" s="6"/>
    </row>
    <row r="663" ht="15.75" customHeight="1">
      <c r="I663" s="6"/>
    </row>
    <row r="664" ht="15.75" customHeight="1">
      <c r="I664" s="6"/>
    </row>
    <row r="665" ht="15.75" customHeight="1">
      <c r="I665" s="6"/>
    </row>
    <row r="666" ht="15.75" customHeight="1">
      <c r="I666" s="6"/>
    </row>
    <row r="667" ht="15.75" customHeight="1">
      <c r="I667" s="6"/>
    </row>
    <row r="668" ht="15.75" customHeight="1">
      <c r="I668" s="6"/>
    </row>
    <row r="669" ht="15.75" customHeight="1">
      <c r="I669" s="6"/>
    </row>
    <row r="670" ht="15.75" customHeight="1">
      <c r="I670" s="6"/>
    </row>
    <row r="671" ht="15.75" customHeight="1">
      <c r="I671" s="6"/>
    </row>
    <row r="672" ht="15.75" customHeight="1">
      <c r="I672" s="6"/>
    </row>
    <row r="673" ht="15.75" customHeight="1">
      <c r="I673" s="6"/>
    </row>
    <row r="674" ht="15.75" customHeight="1">
      <c r="I674" s="6"/>
    </row>
    <row r="675" ht="15.75" customHeight="1">
      <c r="I675" s="6"/>
    </row>
    <row r="676" ht="15.75" customHeight="1">
      <c r="I676" s="6"/>
    </row>
    <row r="677" ht="15.75" customHeight="1">
      <c r="I677" s="6"/>
    </row>
    <row r="678" ht="15.75" customHeight="1">
      <c r="I678" s="6"/>
    </row>
    <row r="679" ht="15.75" customHeight="1">
      <c r="I679" s="6"/>
    </row>
    <row r="680" ht="15.75" customHeight="1">
      <c r="I680" s="6"/>
    </row>
    <row r="681" ht="15.75" customHeight="1">
      <c r="I681" s="6"/>
    </row>
    <row r="682" ht="15.75" customHeight="1">
      <c r="I682" s="6"/>
    </row>
    <row r="683" ht="15.75" customHeight="1">
      <c r="I683" s="6"/>
    </row>
    <row r="684" ht="15.75" customHeight="1">
      <c r="I684" s="6"/>
    </row>
    <row r="685" ht="15.75" customHeight="1">
      <c r="I685" s="6"/>
    </row>
    <row r="686" ht="15.75" customHeight="1">
      <c r="I686" s="6"/>
    </row>
    <row r="687" ht="15.75" customHeight="1">
      <c r="I687" s="6"/>
    </row>
    <row r="688" ht="15.75" customHeight="1">
      <c r="I688" s="6"/>
    </row>
    <row r="689" ht="15.75" customHeight="1">
      <c r="I689" s="6"/>
    </row>
    <row r="690" ht="15.75" customHeight="1">
      <c r="I690" s="6"/>
    </row>
    <row r="691" ht="15.75" customHeight="1">
      <c r="I691" s="6"/>
    </row>
    <row r="692" ht="15.75" customHeight="1">
      <c r="I692" s="6"/>
    </row>
    <row r="693" ht="15.75" customHeight="1">
      <c r="I693" s="6"/>
    </row>
    <row r="694" ht="15.75" customHeight="1">
      <c r="I694" s="6"/>
    </row>
    <row r="695" ht="15.75" customHeight="1">
      <c r="I695" s="6"/>
    </row>
    <row r="696" ht="15.75" customHeight="1">
      <c r="I696" s="6"/>
    </row>
    <row r="697" ht="15.75" customHeight="1">
      <c r="I697" s="6"/>
    </row>
    <row r="698" ht="15.75" customHeight="1">
      <c r="I698" s="6"/>
    </row>
    <row r="699" ht="15.75" customHeight="1">
      <c r="I699" s="6"/>
    </row>
    <row r="700" ht="15.75" customHeight="1">
      <c r="I700" s="6"/>
    </row>
    <row r="701" ht="15.75" customHeight="1">
      <c r="I701" s="6"/>
    </row>
    <row r="702" ht="15.75" customHeight="1">
      <c r="I702" s="6"/>
    </row>
    <row r="703" ht="15.75" customHeight="1">
      <c r="I703" s="6"/>
    </row>
    <row r="704" ht="15.75" customHeight="1">
      <c r="I704" s="6"/>
    </row>
    <row r="705" ht="15.75" customHeight="1">
      <c r="I705" s="6"/>
    </row>
    <row r="706" ht="15.75" customHeight="1">
      <c r="I706" s="6"/>
    </row>
    <row r="707" ht="15.75" customHeight="1">
      <c r="I707" s="6"/>
    </row>
    <row r="708" ht="15.75" customHeight="1">
      <c r="I708" s="6"/>
    </row>
    <row r="709" ht="15.75" customHeight="1">
      <c r="I709" s="6"/>
    </row>
    <row r="710" ht="15.75" customHeight="1">
      <c r="I710" s="6"/>
    </row>
    <row r="711" ht="15.75" customHeight="1">
      <c r="I711" s="6"/>
    </row>
    <row r="712" ht="15.75" customHeight="1">
      <c r="I712" s="6"/>
    </row>
    <row r="713" ht="15.75" customHeight="1">
      <c r="I713" s="6"/>
    </row>
    <row r="714" ht="15.75" customHeight="1">
      <c r="I714" s="6"/>
    </row>
    <row r="715" ht="15.75" customHeight="1">
      <c r="I715" s="6"/>
    </row>
    <row r="716" ht="15.75" customHeight="1">
      <c r="I716" s="6"/>
    </row>
    <row r="717" ht="15.75" customHeight="1">
      <c r="I717" s="6"/>
    </row>
    <row r="718" ht="15.75" customHeight="1">
      <c r="I718" s="6"/>
    </row>
    <row r="719" ht="15.75" customHeight="1">
      <c r="I719" s="6"/>
    </row>
    <row r="720" ht="15.75" customHeight="1">
      <c r="I720" s="6"/>
    </row>
    <row r="721" ht="15.75" customHeight="1">
      <c r="I721" s="6"/>
    </row>
    <row r="722" ht="15.75" customHeight="1">
      <c r="I722" s="6"/>
    </row>
    <row r="723" ht="15.75" customHeight="1">
      <c r="I723" s="6"/>
    </row>
    <row r="724" ht="15.75" customHeight="1">
      <c r="I724" s="6"/>
    </row>
    <row r="725" ht="15.75" customHeight="1">
      <c r="I725" s="6"/>
    </row>
    <row r="726" ht="15.75" customHeight="1">
      <c r="I726" s="6"/>
    </row>
    <row r="727" ht="15.75" customHeight="1">
      <c r="I727" s="6"/>
    </row>
    <row r="728" ht="15.75" customHeight="1">
      <c r="I728" s="6"/>
    </row>
    <row r="729" ht="15.75" customHeight="1">
      <c r="I729" s="6"/>
    </row>
    <row r="730" ht="15.75" customHeight="1">
      <c r="I730" s="6"/>
    </row>
    <row r="731" ht="15.75" customHeight="1">
      <c r="I731" s="6"/>
    </row>
    <row r="732" ht="15.75" customHeight="1">
      <c r="I732" s="6"/>
    </row>
    <row r="733" ht="15.75" customHeight="1">
      <c r="I733" s="6"/>
    </row>
    <row r="734" ht="15.75" customHeight="1">
      <c r="I734" s="6"/>
    </row>
    <row r="735" ht="15.75" customHeight="1">
      <c r="I735" s="6"/>
    </row>
    <row r="736" ht="15.75" customHeight="1">
      <c r="I736" s="6"/>
    </row>
    <row r="737" ht="15.75" customHeight="1">
      <c r="I737" s="6"/>
    </row>
    <row r="738" ht="15.75" customHeight="1">
      <c r="I738" s="6"/>
    </row>
    <row r="739" ht="15.75" customHeight="1">
      <c r="I739" s="6"/>
    </row>
    <row r="740" ht="15.75" customHeight="1">
      <c r="I740" s="6"/>
    </row>
    <row r="741" ht="15.75" customHeight="1">
      <c r="I741" s="6"/>
    </row>
    <row r="742" ht="15.75" customHeight="1">
      <c r="I742" s="6"/>
    </row>
    <row r="743" ht="15.75" customHeight="1">
      <c r="I743" s="6"/>
    </row>
    <row r="744" ht="15.75" customHeight="1">
      <c r="I744" s="6"/>
    </row>
    <row r="745" ht="15.75" customHeight="1">
      <c r="I745" s="6"/>
    </row>
    <row r="746" ht="15.75" customHeight="1">
      <c r="I746" s="6"/>
    </row>
    <row r="747" ht="15.75" customHeight="1">
      <c r="I747" s="6"/>
    </row>
    <row r="748" ht="15.75" customHeight="1">
      <c r="I748" s="6"/>
    </row>
    <row r="749" ht="15.75" customHeight="1">
      <c r="I749" s="6"/>
    </row>
    <row r="750" ht="15.75" customHeight="1">
      <c r="I750" s="6"/>
    </row>
    <row r="751" ht="15.75" customHeight="1">
      <c r="I751" s="6"/>
    </row>
    <row r="752" ht="15.75" customHeight="1">
      <c r="I752" s="6"/>
    </row>
    <row r="753" ht="15.75" customHeight="1">
      <c r="I753" s="6"/>
    </row>
    <row r="754" ht="15.75" customHeight="1">
      <c r="I754" s="6"/>
    </row>
    <row r="755" ht="15.75" customHeight="1">
      <c r="I755" s="6"/>
    </row>
    <row r="756" ht="15.75" customHeight="1">
      <c r="I756" s="6"/>
    </row>
    <row r="757" ht="15.75" customHeight="1">
      <c r="I757" s="6"/>
    </row>
    <row r="758" ht="15.75" customHeight="1">
      <c r="I758" s="6"/>
    </row>
    <row r="759" ht="15.75" customHeight="1">
      <c r="I759" s="6"/>
    </row>
    <row r="760" ht="15.75" customHeight="1">
      <c r="I760" s="6"/>
    </row>
    <row r="761" ht="15.75" customHeight="1">
      <c r="I761" s="6"/>
    </row>
    <row r="762" ht="15.75" customHeight="1">
      <c r="I762" s="6"/>
    </row>
    <row r="763" ht="15.75" customHeight="1">
      <c r="I763" s="6"/>
    </row>
    <row r="764" ht="15.75" customHeight="1">
      <c r="I764" s="6"/>
    </row>
    <row r="765" ht="15.75" customHeight="1">
      <c r="I765" s="6"/>
    </row>
    <row r="766" ht="15.75" customHeight="1">
      <c r="I766" s="6"/>
    </row>
    <row r="767" ht="15.75" customHeight="1">
      <c r="I767" s="6"/>
    </row>
    <row r="768" ht="15.75" customHeight="1">
      <c r="I768" s="6"/>
    </row>
    <row r="769" ht="15.75" customHeight="1">
      <c r="I769" s="6"/>
    </row>
    <row r="770" ht="15.75" customHeight="1">
      <c r="I770" s="6"/>
    </row>
    <row r="771" ht="15.75" customHeight="1">
      <c r="I771" s="6"/>
    </row>
    <row r="772" ht="15.75" customHeight="1">
      <c r="I772" s="6"/>
    </row>
    <row r="773" ht="15.75" customHeight="1">
      <c r="I773" s="6"/>
    </row>
    <row r="774" ht="15.75" customHeight="1">
      <c r="I774" s="6"/>
    </row>
    <row r="775" ht="15.75" customHeight="1">
      <c r="I775" s="6"/>
    </row>
    <row r="776" ht="15.75" customHeight="1">
      <c r="I776" s="6"/>
    </row>
    <row r="777" ht="15.75" customHeight="1">
      <c r="I777" s="6"/>
    </row>
    <row r="778" ht="15.75" customHeight="1">
      <c r="I778" s="6"/>
    </row>
    <row r="779" ht="15.75" customHeight="1">
      <c r="I779" s="6"/>
    </row>
    <row r="780" ht="15.75" customHeight="1">
      <c r="I780" s="6"/>
    </row>
    <row r="781" ht="15.75" customHeight="1">
      <c r="I781" s="6"/>
    </row>
    <row r="782" ht="15.75" customHeight="1">
      <c r="I782" s="6"/>
    </row>
    <row r="783" ht="15.75" customHeight="1">
      <c r="I783" s="6"/>
    </row>
    <row r="784" ht="15.75" customHeight="1">
      <c r="I784" s="6"/>
    </row>
    <row r="785" ht="15.75" customHeight="1">
      <c r="I785" s="6"/>
    </row>
    <row r="786" ht="15.75" customHeight="1">
      <c r="I786" s="6"/>
    </row>
    <row r="787" ht="15.75" customHeight="1">
      <c r="I787" s="6"/>
    </row>
    <row r="788" ht="15.75" customHeight="1">
      <c r="I788" s="6"/>
    </row>
    <row r="789" ht="15.75" customHeight="1">
      <c r="I789" s="6"/>
    </row>
    <row r="790" ht="15.75" customHeight="1">
      <c r="I790" s="6"/>
    </row>
    <row r="791" ht="15.75" customHeight="1">
      <c r="I791" s="6"/>
    </row>
    <row r="792" ht="15.75" customHeight="1">
      <c r="I792" s="6"/>
    </row>
    <row r="793" ht="15.75" customHeight="1">
      <c r="I793" s="6"/>
    </row>
    <row r="794" ht="15.75" customHeight="1">
      <c r="I794" s="6"/>
    </row>
    <row r="795" ht="15.75" customHeight="1">
      <c r="I795" s="6"/>
    </row>
    <row r="796" ht="15.75" customHeight="1">
      <c r="I796" s="6"/>
    </row>
    <row r="797" ht="15.75" customHeight="1">
      <c r="I797" s="6"/>
    </row>
    <row r="798" ht="15.75" customHeight="1">
      <c r="I798" s="6"/>
    </row>
    <row r="799" ht="15.75" customHeight="1">
      <c r="I799" s="6"/>
    </row>
    <row r="800" ht="15.75" customHeight="1">
      <c r="I800" s="6"/>
    </row>
    <row r="801" ht="15.75" customHeight="1">
      <c r="I801" s="6"/>
    </row>
    <row r="802" ht="15.75" customHeight="1">
      <c r="I802" s="6"/>
    </row>
    <row r="803" ht="15.75" customHeight="1">
      <c r="I803" s="6"/>
    </row>
    <row r="804" ht="15.75" customHeight="1">
      <c r="I804" s="6"/>
    </row>
    <row r="805" ht="15.75" customHeight="1">
      <c r="I805" s="6"/>
    </row>
    <row r="806" ht="15.75" customHeight="1">
      <c r="I806" s="6"/>
    </row>
    <row r="807" ht="15.75" customHeight="1">
      <c r="I807" s="6"/>
    </row>
    <row r="808" ht="15.75" customHeight="1">
      <c r="I808" s="6"/>
    </row>
    <row r="809" ht="15.75" customHeight="1">
      <c r="I809" s="6"/>
    </row>
    <row r="810" ht="15.75" customHeight="1">
      <c r="I810" s="6"/>
    </row>
    <row r="811" ht="15.75" customHeight="1">
      <c r="I811" s="6"/>
    </row>
    <row r="812" ht="15.75" customHeight="1">
      <c r="I812" s="6"/>
    </row>
    <row r="813" ht="15.75" customHeight="1">
      <c r="I813" s="6"/>
    </row>
    <row r="814" ht="15.75" customHeight="1">
      <c r="I814" s="6"/>
    </row>
    <row r="815" ht="15.75" customHeight="1">
      <c r="I815" s="6"/>
    </row>
    <row r="816" ht="15.75" customHeight="1">
      <c r="I816" s="6"/>
    </row>
    <row r="817" ht="15.75" customHeight="1">
      <c r="I817" s="6"/>
    </row>
    <row r="818" ht="15.75" customHeight="1">
      <c r="I818" s="6"/>
    </row>
    <row r="819" ht="15.75" customHeight="1">
      <c r="I819" s="6"/>
    </row>
    <row r="820" ht="15.75" customHeight="1">
      <c r="I820" s="6"/>
    </row>
    <row r="821" ht="15.75" customHeight="1">
      <c r="I821" s="6"/>
    </row>
    <row r="822" ht="15.75" customHeight="1">
      <c r="I822" s="6"/>
    </row>
    <row r="823" ht="15.75" customHeight="1">
      <c r="I823" s="6"/>
    </row>
    <row r="824" ht="15.75" customHeight="1">
      <c r="I824" s="6"/>
    </row>
    <row r="825" ht="15.75" customHeight="1">
      <c r="I825" s="6"/>
    </row>
    <row r="826" ht="15.75" customHeight="1">
      <c r="I826" s="6"/>
    </row>
    <row r="827" ht="15.75" customHeight="1">
      <c r="I827" s="6"/>
    </row>
    <row r="828" ht="15.75" customHeight="1">
      <c r="I828" s="6"/>
    </row>
    <row r="829" ht="15.75" customHeight="1">
      <c r="I829" s="6"/>
    </row>
    <row r="830" ht="15.75" customHeight="1">
      <c r="I830" s="6"/>
    </row>
    <row r="831" ht="15.75" customHeight="1">
      <c r="I831" s="6"/>
    </row>
    <row r="832" ht="15.75" customHeight="1">
      <c r="I832" s="6"/>
    </row>
    <row r="833" ht="15.75" customHeight="1">
      <c r="I833" s="6"/>
    </row>
    <row r="834" ht="15.75" customHeight="1">
      <c r="I834" s="6"/>
    </row>
    <row r="835" ht="15.75" customHeight="1">
      <c r="I835" s="6"/>
    </row>
    <row r="836" ht="15.75" customHeight="1">
      <c r="I836" s="6"/>
    </row>
    <row r="837" ht="15.75" customHeight="1">
      <c r="I837" s="6"/>
    </row>
    <row r="838" ht="15.75" customHeight="1">
      <c r="I838" s="6"/>
    </row>
    <row r="839" ht="15.75" customHeight="1">
      <c r="I839" s="6"/>
    </row>
    <row r="840" ht="15.75" customHeight="1">
      <c r="I840" s="6"/>
    </row>
    <row r="841" ht="15.75" customHeight="1">
      <c r="I841" s="6"/>
    </row>
    <row r="842" ht="15.75" customHeight="1">
      <c r="I842" s="6"/>
    </row>
    <row r="843" ht="15.75" customHeight="1">
      <c r="I843" s="6"/>
    </row>
    <row r="844" ht="15.75" customHeight="1">
      <c r="I844" s="6"/>
    </row>
    <row r="845" ht="15.75" customHeight="1">
      <c r="I845" s="6"/>
    </row>
    <row r="846" ht="15.75" customHeight="1">
      <c r="I846" s="6"/>
    </row>
    <row r="847" ht="15.75" customHeight="1">
      <c r="I847" s="6"/>
    </row>
    <row r="848" ht="15.75" customHeight="1">
      <c r="I848" s="6"/>
    </row>
    <row r="849" ht="15.75" customHeight="1">
      <c r="I849" s="6"/>
    </row>
    <row r="850" ht="15.75" customHeight="1">
      <c r="I850" s="6"/>
    </row>
    <row r="851" ht="15.75" customHeight="1">
      <c r="I851" s="6"/>
    </row>
    <row r="852" ht="15.75" customHeight="1">
      <c r="I852" s="6"/>
    </row>
    <row r="853" ht="15.75" customHeight="1">
      <c r="I853" s="6"/>
    </row>
    <row r="854" ht="15.75" customHeight="1">
      <c r="I854" s="6"/>
    </row>
    <row r="855" ht="15.75" customHeight="1">
      <c r="I855" s="6"/>
    </row>
    <row r="856" ht="15.75" customHeight="1">
      <c r="I856" s="6"/>
    </row>
    <row r="857" ht="15.75" customHeight="1">
      <c r="I857" s="6"/>
    </row>
    <row r="858" ht="15.75" customHeight="1">
      <c r="I858" s="6"/>
    </row>
    <row r="859" ht="15.75" customHeight="1">
      <c r="I859" s="6"/>
    </row>
    <row r="860" ht="15.75" customHeight="1">
      <c r="I860" s="6"/>
    </row>
    <row r="861" ht="15.75" customHeight="1">
      <c r="I861" s="6"/>
    </row>
    <row r="862" ht="15.75" customHeight="1">
      <c r="I862" s="6"/>
    </row>
    <row r="863" ht="15.75" customHeight="1">
      <c r="I863" s="6"/>
    </row>
    <row r="864" ht="15.75" customHeight="1">
      <c r="I864" s="6"/>
    </row>
    <row r="865" ht="15.75" customHeight="1">
      <c r="I865" s="6"/>
    </row>
    <row r="866" ht="15.75" customHeight="1">
      <c r="I866" s="6"/>
    </row>
    <row r="867" ht="15.75" customHeight="1">
      <c r="I867" s="6"/>
    </row>
    <row r="868" ht="15.75" customHeight="1">
      <c r="I868" s="6"/>
    </row>
    <row r="869" ht="15.75" customHeight="1">
      <c r="I869" s="6"/>
    </row>
    <row r="870" ht="15.75" customHeight="1">
      <c r="I870" s="6"/>
    </row>
    <row r="871" ht="15.75" customHeight="1">
      <c r="I871" s="6"/>
    </row>
    <row r="872" ht="15.75" customHeight="1">
      <c r="I872" s="6"/>
    </row>
    <row r="873" ht="15.75" customHeight="1">
      <c r="I873" s="6"/>
    </row>
    <row r="874" ht="15.75" customHeight="1">
      <c r="I874" s="6"/>
    </row>
    <row r="875" ht="15.75" customHeight="1">
      <c r="I875" s="6"/>
    </row>
    <row r="876" ht="15.75" customHeight="1">
      <c r="I876" s="6"/>
    </row>
    <row r="877" ht="15.75" customHeight="1">
      <c r="I877" s="6"/>
    </row>
    <row r="878" ht="15.75" customHeight="1">
      <c r="I878" s="6"/>
    </row>
    <row r="879" ht="15.75" customHeight="1">
      <c r="I879" s="6"/>
    </row>
    <row r="880" ht="15.75" customHeight="1">
      <c r="I880" s="6"/>
    </row>
    <row r="881" ht="15.75" customHeight="1">
      <c r="I881" s="6"/>
    </row>
    <row r="882" ht="15.75" customHeight="1">
      <c r="I882" s="6"/>
    </row>
    <row r="883" ht="15.75" customHeight="1">
      <c r="I883" s="6"/>
    </row>
    <row r="884" ht="15.75" customHeight="1">
      <c r="I884" s="6"/>
    </row>
    <row r="885" ht="15.75" customHeight="1">
      <c r="I885" s="6"/>
    </row>
    <row r="886" ht="15.75" customHeight="1">
      <c r="I886" s="6"/>
    </row>
    <row r="887" ht="15.75" customHeight="1">
      <c r="I887" s="6"/>
    </row>
    <row r="888" ht="15.75" customHeight="1">
      <c r="I888" s="6"/>
    </row>
    <row r="889" ht="15.75" customHeight="1">
      <c r="I889" s="6"/>
    </row>
    <row r="890" ht="15.75" customHeight="1">
      <c r="I890" s="6"/>
    </row>
    <row r="891" ht="15.75" customHeight="1">
      <c r="I891" s="6"/>
    </row>
    <row r="892" ht="15.75" customHeight="1">
      <c r="I892" s="6"/>
    </row>
    <row r="893" ht="15.75" customHeight="1">
      <c r="I893" s="6"/>
    </row>
    <row r="894" ht="15.75" customHeight="1">
      <c r="I894" s="6"/>
    </row>
    <row r="895" ht="15.75" customHeight="1">
      <c r="I895" s="6"/>
    </row>
    <row r="896" ht="15.75" customHeight="1">
      <c r="I896" s="6"/>
    </row>
    <row r="897" ht="15.75" customHeight="1">
      <c r="I897" s="6"/>
    </row>
    <row r="898" ht="15.75" customHeight="1">
      <c r="I898" s="6"/>
    </row>
    <row r="899" ht="15.75" customHeight="1">
      <c r="I899" s="6"/>
    </row>
    <row r="900" ht="15.75" customHeight="1">
      <c r="I900" s="6"/>
    </row>
    <row r="901" ht="15.75" customHeight="1">
      <c r="I901" s="6"/>
    </row>
    <row r="902" ht="15.75" customHeight="1">
      <c r="I902" s="6"/>
    </row>
    <row r="903" ht="15.75" customHeight="1">
      <c r="I903" s="6"/>
    </row>
    <row r="904" ht="15.75" customHeight="1">
      <c r="I904" s="6"/>
    </row>
    <row r="905" ht="15.75" customHeight="1">
      <c r="I905" s="6"/>
    </row>
    <row r="906" ht="15.75" customHeight="1">
      <c r="I906" s="6"/>
    </row>
    <row r="907" ht="15.75" customHeight="1">
      <c r="I907" s="6"/>
    </row>
    <row r="908" ht="15.75" customHeight="1">
      <c r="I908" s="6"/>
    </row>
    <row r="909" ht="15.75" customHeight="1">
      <c r="I909" s="6"/>
    </row>
    <row r="910" ht="15.75" customHeight="1">
      <c r="I910" s="6"/>
    </row>
    <row r="911" ht="15.75" customHeight="1">
      <c r="I911" s="6"/>
    </row>
    <row r="912" ht="15.75" customHeight="1">
      <c r="I912" s="6"/>
    </row>
    <row r="913" ht="15.75" customHeight="1">
      <c r="I913" s="6"/>
    </row>
    <row r="914" ht="15.75" customHeight="1">
      <c r="I914" s="6"/>
    </row>
    <row r="915" ht="15.75" customHeight="1">
      <c r="I915" s="6"/>
    </row>
    <row r="916" ht="15.75" customHeight="1">
      <c r="I916" s="6"/>
    </row>
    <row r="917" ht="15.75" customHeight="1">
      <c r="I917" s="6"/>
    </row>
    <row r="918" ht="15.75" customHeight="1">
      <c r="I918" s="6"/>
    </row>
    <row r="919" ht="15.75" customHeight="1">
      <c r="I919" s="6"/>
    </row>
    <row r="920" ht="15.75" customHeight="1">
      <c r="I920" s="6"/>
    </row>
    <row r="921" ht="15.75" customHeight="1">
      <c r="I921" s="6"/>
    </row>
    <row r="922" ht="15.75" customHeight="1">
      <c r="I922" s="6"/>
    </row>
    <row r="923" ht="15.75" customHeight="1">
      <c r="I923" s="6"/>
    </row>
    <row r="924" ht="15.75" customHeight="1">
      <c r="I924" s="6"/>
    </row>
    <row r="925" ht="15.75" customHeight="1">
      <c r="I925" s="6"/>
    </row>
    <row r="926" ht="15.75" customHeight="1">
      <c r="I926" s="6"/>
    </row>
    <row r="927" ht="15.75" customHeight="1">
      <c r="I927" s="6"/>
    </row>
    <row r="928" ht="15.75" customHeight="1">
      <c r="I928" s="6"/>
    </row>
    <row r="929" ht="15.75" customHeight="1">
      <c r="I929" s="6"/>
    </row>
    <row r="930" ht="15.75" customHeight="1">
      <c r="I930" s="6"/>
    </row>
    <row r="931" ht="15.75" customHeight="1">
      <c r="I931" s="6"/>
    </row>
    <row r="932" ht="15.75" customHeight="1">
      <c r="I932" s="6"/>
    </row>
    <row r="933" ht="15.75" customHeight="1">
      <c r="I933" s="6"/>
    </row>
    <row r="934" ht="15.75" customHeight="1">
      <c r="I934" s="6"/>
    </row>
    <row r="935" ht="15.75" customHeight="1">
      <c r="I935" s="6"/>
    </row>
    <row r="936" ht="15.75" customHeight="1">
      <c r="I936" s="6"/>
    </row>
    <row r="937" ht="15.75" customHeight="1">
      <c r="I937" s="6"/>
    </row>
    <row r="938" ht="15.75" customHeight="1">
      <c r="I938" s="6"/>
    </row>
    <row r="939" ht="15.75" customHeight="1">
      <c r="I939" s="6"/>
    </row>
    <row r="940" ht="15.75" customHeight="1">
      <c r="I940" s="6"/>
    </row>
    <row r="941" ht="15.75" customHeight="1">
      <c r="I941" s="6"/>
    </row>
    <row r="942" ht="15.75" customHeight="1">
      <c r="I942" s="6"/>
    </row>
    <row r="943" ht="15.75" customHeight="1">
      <c r="I943" s="6"/>
    </row>
    <row r="944" ht="15.75" customHeight="1">
      <c r="I944" s="6"/>
    </row>
    <row r="945" ht="15.75" customHeight="1">
      <c r="I945" s="6"/>
    </row>
    <row r="946" ht="15.75" customHeight="1">
      <c r="I946" s="6"/>
    </row>
    <row r="947" ht="15.75" customHeight="1">
      <c r="I947" s="6"/>
    </row>
    <row r="948" ht="15.75" customHeight="1">
      <c r="I948" s="6"/>
    </row>
    <row r="949" ht="15.75" customHeight="1">
      <c r="I949" s="6"/>
    </row>
    <row r="950" ht="15.75" customHeight="1">
      <c r="I950" s="6"/>
    </row>
    <row r="951" ht="15.75" customHeight="1">
      <c r="I951" s="6"/>
    </row>
    <row r="952" ht="15.75" customHeight="1">
      <c r="I952" s="6"/>
    </row>
    <row r="953" ht="15.75" customHeight="1">
      <c r="I953" s="6"/>
    </row>
    <row r="954" ht="15.75" customHeight="1">
      <c r="I954" s="6"/>
    </row>
    <row r="955" ht="15.75" customHeight="1">
      <c r="I955" s="6"/>
    </row>
    <row r="956" ht="15.75" customHeight="1">
      <c r="I956" s="6"/>
    </row>
    <row r="957" ht="15.75" customHeight="1">
      <c r="I957" s="6"/>
    </row>
    <row r="958" ht="15.75" customHeight="1">
      <c r="I958" s="6"/>
    </row>
    <row r="959" ht="15.75" customHeight="1">
      <c r="I959" s="6"/>
    </row>
    <row r="960" ht="15.75" customHeight="1">
      <c r="I960" s="6"/>
    </row>
    <row r="961" ht="15.75" customHeight="1">
      <c r="I961" s="6"/>
    </row>
    <row r="962" ht="15.75" customHeight="1">
      <c r="I962" s="6"/>
    </row>
    <row r="963" ht="15.75" customHeight="1">
      <c r="I963" s="6"/>
    </row>
    <row r="964" ht="15.75" customHeight="1">
      <c r="I964" s="6"/>
    </row>
    <row r="965" ht="15.75" customHeight="1">
      <c r="I965" s="6"/>
    </row>
    <row r="966" ht="15.75" customHeight="1">
      <c r="I966" s="6"/>
    </row>
    <row r="967" ht="15.75" customHeight="1">
      <c r="I967" s="6"/>
    </row>
    <row r="968" ht="15.75" customHeight="1">
      <c r="I968" s="6"/>
    </row>
    <row r="969" ht="15.75" customHeight="1">
      <c r="I969" s="6"/>
    </row>
    <row r="970" ht="15.75" customHeight="1">
      <c r="I970" s="6"/>
    </row>
    <row r="971" ht="15.75" customHeight="1">
      <c r="I971" s="6"/>
    </row>
    <row r="972" ht="15.75" customHeight="1">
      <c r="I972" s="6"/>
    </row>
    <row r="973" ht="15.75" customHeight="1">
      <c r="I973" s="6"/>
    </row>
    <row r="974" ht="15.75" customHeight="1">
      <c r="I974" s="6"/>
    </row>
    <row r="975" ht="15.75" customHeight="1">
      <c r="I975" s="6"/>
    </row>
    <row r="976" ht="15.75" customHeight="1">
      <c r="I976" s="6"/>
    </row>
    <row r="977" ht="15.75" customHeight="1">
      <c r="I977" s="6"/>
    </row>
    <row r="978" ht="15.75" customHeight="1">
      <c r="I978" s="6"/>
    </row>
    <row r="979" ht="15.75" customHeight="1">
      <c r="I979" s="6"/>
    </row>
    <row r="980" ht="15.75" customHeight="1">
      <c r="I980" s="6"/>
    </row>
    <row r="981" ht="15.75" customHeight="1">
      <c r="I981" s="6"/>
    </row>
    <row r="982" ht="15.75" customHeight="1">
      <c r="I982" s="6"/>
    </row>
    <row r="983" ht="15.75" customHeight="1">
      <c r="I983" s="6"/>
    </row>
    <row r="984" ht="15.75" customHeight="1">
      <c r="I984" s="6"/>
    </row>
    <row r="985" ht="15.75" customHeight="1">
      <c r="I985" s="6"/>
    </row>
    <row r="986" ht="15.75" customHeight="1">
      <c r="I986" s="6"/>
    </row>
    <row r="987" ht="15.75" customHeight="1">
      <c r="I987" s="6"/>
    </row>
    <row r="988" ht="15.75" customHeight="1">
      <c r="I988" s="6"/>
    </row>
    <row r="989" ht="15.75" customHeight="1">
      <c r="I989" s="6"/>
    </row>
    <row r="990" ht="15.75" customHeight="1">
      <c r="I990" s="6"/>
    </row>
    <row r="991" ht="15.75" customHeight="1">
      <c r="I991" s="6"/>
    </row>
    <row r="992" ht="15.75" customHeight="1">
      <c r="I992" s="6"/>
    </row>
    <row r="993" ht="15.75" customHeight="1">
      <c r="I993" s="6"/>
    </row>
    <row r="994" ht="15.75" customHeight="1">
      <c r="I994" s="6"/>
    </row>
    <row r="995" ht="15.75" customHeight="1">
      <c r="I995" s="6"/>
    </row>
    <row r="996" ht="15.75" customHeight="1">
      <c r="I996" s="6"/>
    </row>
    <row r="997" ht="15.75" customHeight="1">
      <c r="I997" s="6"/>
    </row>
    <row r="998" ht="15.75" customHeight="1">
      <c r="I998" s="6"/>
    </row>
    <row r="999" ht="15.75" customHeight="1">
      <c r="I999" s="6"/>
    </row>
    <row r="1000" ht="15.75" customHeight="1">
      <c r="I1000" s="6"/>
    </row>
  </sheetData>
  <mergeCells count="19">
    <mergeCell ref="R9:X9"/>
    <mergeCell ref="Y9:AE9"/>
    <mergeCell ref="AF9:AL9"/>
    <mergeCell ref="AM9:AS9"/>
    <mergeCell ref="AT9:AZ9"/>
    <mergeCell ref="BA9:BG9"/>
    <mergeCell ref="BH9:BN9"/>
    <mergeCell ref="BO9:BU9"/>
    <mergeCell ref="BV9:CB9"/>
    <mergeCell ref="CC9:CI9"/>
    <mergeCell ref="CJ9:CP9"/>
    <mergeCell ref="CQ9:CV9"/>
    <mergeCell ref="A8:J8"/>
    <mergeCell ref="K8:AE8"/>
    <mergeCell ref="AF8:AS8"/>
    <mergeCell ref="AT8:CB8"/>
    <mergeCell ref="CC8:CV8"/>
    <mergeCell ref="A9:J9"/>
    <mergeCell ref="K9:Q9"/>
  </mergeCells>
  <conditionalFormatting sqref="K11:CV15">
    <cfRule type="expression" dxfId="0" priority="1" stopIfTrue="1">
      <formula>AND($J11&gt;0,$J11&lt;=0.2,K$6=1,K$7&gt;=$G11,K$7&lt;=$H11)</formula>
    </cfRule>
  </conditionalFormatting>
  <conditionalFormatting sqref="K11:CV15">
    <cfRule type="expression" dxfId="1" priority="2" stopIfTrue="1">
      <formula>AND($J11&gt;0.2,$J11&lt;=0.4,K$6=1,K$7&gt;=$G11,K$7&lt;=$H11)</formula>
    </cfRule>
  </conditionalFormatting>
  <conditionalFormatting sqref="K11:CV15">
    <cfRule type="expression" dxfId="2" priority="3" stopIfTrue="1">
      <formula>AND($J11&gt;0.4,$J11&lt;=0.6,K$6=1,K$7&gt;=$G11,K$7&lt;=$H11)</formula>
    </cfRule>
  </conditionalFormatting>
  <conditionalFormatting sqref="K11:CV15">
    <cfRule type="expression" dxfId="3" priority="4" stopIfTrue="1">
      <formula>AND($J11&gt;0.6,$J11&lt;=0.8,K$6=1,K$7&gt;=$G11,K$7&lt;=$H11)</formula>
    </cfRule>
  </conditionalFormatting>
  <conditionalFormatting sqref="K11:CV15">
    <cfRule type="expression" dxfId="4" priority="5" stopIfTrue="1">
      <formula>AND($J11&gt;0.8,$J11&lt;=1,K$6=1,K$7&gt;=$G11,K$7&lt;=$H11)</formula>
    </cfRule>
  </conditionalFormatting>
  <conditionalFormatting sqref="K16:CV27">
    <cfRule type="expression" dxfId="0" priority="6" stopIfTrue="1">
      <formula>AND($J16&gt;0,$J16&lt;=0.2,K$6=1,K$7&gt;=$G16,K$7&lt;=$H16)</formula>
    </cfRule>
  </conditionalFormatting>
  <conditionalFormatting sqref="K16:CV27">
    <cfRule type="expression" dxfId="1" priority="7" stopIfTrue="1">
      <formula>AND($J16&gt;0.2,$J16&lt;=0.4,K$6=1,K$7&gt;=$G16,K$7&lt;=$H16)</formula>
    </cfRule>
  </conditionalFormatting>
  <conditionalFormatting sqref="K16:CV27">
    <cfRule type="expression" dxfId="2" priority="8" stopIfTrue="1">
      <formula>AND($J16&gt;0.4,$J16&lt;=0.6,K$6=1,K$7&gt;=$G16,K$7&lt;=$H16)</formula>
    </cfRule>
  </conditionalFormatting>
  <conditionalFormatting sqref="K16:CV27">
    <cfRule type="expression" dxfId="3" priority="9" stopIfTrue="1">
      <formula>AND($J16&gt;0.6,$J16&lt;=0.8,K$6=1,K$7&gt;=$G16,K$7&lt;=$H16)</formula>
    </cfRule>
  </conditionalFormatting>
  <conditionalFormatting sqref="K16:CV27">
    <cfRule type="expression" dxfId="4" priority="10" stopIfTrue="1">
      <formula>AND($J16&gt;0.8,$J16&lt;=1,K$6=1,K$7&gt;=$G16,K$7&lt;=$H16)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11.0"/>
    <col customWidth="1" min="3" max="4" width="14.0"/>
    <col customWidth="1" min="5" max="5" width="35.0"/>
    <col customWidth="1" min="6" max="6" width="40.0"/>
    <col customWidth="1" min="7" max="26" width="8.71"/>
  </cols>
  <sheetData>
    <row r="1" ht="42.0" customHeight="1">
      <c r="A1" s="3" t="s">
        <v>0</v>
      </c>
    </row>
    <row r="2">
      <c r="A2" s="5" t="s">
        <v>2</v>
      </c>
    </row>
    <row r="4" ht="30.0" customHeight="1">
      <c r="A4" s="9" t="s">
        <v>5</v>
      </c>
      <c r="B4" s="9" t="s">
        <v>7</v>
      </c>
      <c r="C4" s="9" t="s">
        <v>8</v>
      </c>
      <c r="D4" s="9" t="s">
        <v>10</v>
      </c>
      <c r="E4" s="9" t="s">
        <v>11</v>
      </c>
      <c r="F4" s="9" t="s">
        <v>12</v>
      </c>
    </row>
    <row r="5" ht="30.0" customHeight="1">
      <c r="A5" s="13" t="s">
        <v>14</v>
      </c>
      <c r="B5" s="14">
        <v>7.0</v>
      </c>
      <c r="C5" s="18">
        <v>46303.0</v>
      </c>
      <c r="D5" s="18">
        <v>46310.0</v>
      </c>
      <c r="E5" s="13" t="s">
        <v>21</v>
      </c>
      <c r="F5" s="13" t="s">
        <v>22</v>
      </c>
    </row>
    <row r="6" ht="30.0" customHeight="1">
      <c r="A6" s="13" t="s">
        <v>23</v>
      </c>
      <c r="B6" s="14">
        <v>9.0</v>
      </c>
      <c r="C6" s="18">
        <v>46308.0</v>
      </c>
      <c r="D6" s="18">
        <v>46318.0</v>
      </c>
      <c r="E6" s="13" t="s">
        <v>25</v>
      </c>
      <c r="F6" s="13" t="s">
        <v>22</v>
      </c>
    </row>
    <row r="7" ht="30.0" customHeight="1">
      <c r="A7" s="13" t="s">
        <v>30</v>
      </c>
      <c r="B7" s="14">
        <v>11.0</v>
      </c>
      <c r="C7" s="18">
        <v>46302.0</v>
      </c>
      <c r="D7" s="18">
        <v>46316.0</v>
      </c>
      <c r="E7" s="13" t="s">
        <v>31</v>
      </c>
      <c r="F7" s="13" t="s">
        <v>22</v>
      </c>
    </row>
    <row r="8" ht="30.0" customHeight="1">
      <c r="A8" s="13" t="s">
        <v>32</v>
      </c>
      <c r="B8" s="14">
        <v>11.0</v>
      </c>
      <c r="C8" s="18">
        <v>46310.0</v>
      </c>
      <c r="D8" s="18">
        <v>46323.0</v>
      </c>
      <c r="E8" s="13" t="s">
        <v>33</v>
      </c>
      <c r="F8" s="13" t="s">
        <v>22</v>
      </c>
    </row>
    <row r="9" ht="30.0" customHeight="1">
      <c r="A9" s="13" t="s">
        <v>34</v>
      </c>
      <c r="B9" s="14">
        <v>7.0</v>
      </c>
      <c r="C9" s="18">
        <v>46316.0</v>
      </c>
      <c r="D9" s="18">
        <v>46324.0</v>
      </c>
      <c r="E9" s="13" t="s">
        <v>37</v>
      </c>
      <c r="F9" s="13" t="s">
        <v>22</v>
      </c>
    </row>
    <row r="10" ht="30.0" customHeight="1">
      <c r="A10" s="13" t="s">
        <v>38</v>
      </c>
      <c r="B10" s="14">
        <v>10.0</v>
      </c>
      <c r="C10" s="18">
        <v>46311.0</v>
      </c>
      <c r="D10" s="18">
        <v>46325.0</v>
      </c>
      <c r="E10" s="13" t="s">
        <v>39</v>
      </c>
      <c r="F10" s="13" t="s">
        <v>40</v>
      </c>
    </row>
    <row r="11" ht="30.0" customHeight="1">
      <c r="A11" s="13" t="s">
        <v>42</v>
      </c>
      <c r="B11" s="14">
        <v>9.0</v>
      </c>
      <c r="C11" s="18">
        <v>46316.0</v>
      </c>
      <c r="D11" s="18">
        <v>46328.0</v>
      </c>
      <c r="E11" s="13" t="s">
        <v>44</v>
      </c>
      <c r="F11" s="13" t="s">
        <v>22</v>
      </c>
    </row>
    <row r="12" ht="30.0" customHeight="1">
      <c r="A12" s="13" t="s">
        <v>45</v>
      </c>
      <c r="B12" s="14">
        <v>9.0</v>
      </c>
      <c r="C12" s="18">
        <v>46314.0</v>
      </c>
      <c r="D12" s="18">
        <v>46329.0</v>
      </c>
      <c r="E12" s="13" t="s">
        <v>46</v>
      </c>
      <c r="F12" s="13" t="s">
        <v>40</v>
      </c>
    </row>
    <row r="13" ht="30.0" customHeight="1"/>
    <row r="14" ht="30.0" customHeight="1"/>
    <row r="15" ht="30.0" customHeight="1"/>
    <row r="16" ht="30.0" customHeight="1">
      <c r="A16" s="23" t="s">
        <v>49</v>
      </c>
      <c r="B16" s="24"/>
      <c r="C16" s="24"/>
      <c r="D16" s="24"/>
      <c r="E16" s="24"/>
      <c r="F16" s="27"/>
    </row>
    <row r="17" ht="30.0" customHeight="1">
      <c r="A17" s="18">
        <v>46307.0</v>
      </c>
      <c r="B17" s="29" t="s">
        <v>55</v>
      </c>
      <c r="C17" s="27"/>
      <c r="D17" s="29" t="s">
        <v>56</v>
      </c>
      <c r="E17" s="24"/>
      <c r="F17" s="27"/>
    </row>
    <row r="18" ht="30.0" customHeight="1">
      <c r="A18" s="18">
        <v>46318.0</v>
      </c>
      <c r="B18" s="29" t="s">
        <v>57</v>
      </c>
      <c r="C18" s="27"/>
      <c r="D18" s="29" t="s">
        <v>58</v>
      </c>
      <c r="E18" s="24"/>
      <c r="F18" s="27"/>
    </row>
    <row r="19" ht="30.0" customHeight="1">
      <c r="A19" s="18">
        <v>46325.0</v>
      </c>
      <c r="B19" s="29" t="s">
        <v>59</v>
      </c>
      <c r="C19" s="27"/>
      <c r="D19" s="29" t="s">
        <v>60</v>
      </c>
      <c r="E19" s="24"/>
      <c r="F19" s="27"/>
    </row>
    <row r="20" ht="30.0" customHeight="1">
      <c r="A20" s="18">
        <v>46329.0</v>
      </c>
      <c r="B20" s="29" t="s">
        <v>62</v>
      </c>
      <c r="C20" s="27"/>
      <c r="D20" s="29" t="s">
        <v>63</v>
      </c>
      <c r="E20" s="24"/>
      <c r="F20" s="27"/>
    </row>
    <row r="21" ht="30.0" customHeight="1">
      <c r="A21" s="18">
        <v>46332.0</v>
      </c>
      <c r="B21" s="29" t="s">
        <v>64</v>
      </c>
      <c r="C21" s="27"/>
      <c r="D21" s="29" t="s">
        <v>65</v>
      </c>
      <c r="E21" s="24"/>
      <c r="F21" s="27"/>
    </row>
    <row r="22" ht="30.0" customHeight="1"/>
    <row r="23" ht="30.0" customHeight="1">
      <c r="A23" s="23" t="s">
        <v>66</v>
      </c>
      <c r="B23" s="24"/>
      <c r="C23" s="24"/>
      <c r="D23" s="24"/>
      <c r="E23" s="24"/>
      <c r="F23" s="27"/>
    </row>
    <row r="24" ht="30.0" customHeight="1">
      <c r="A24" s="13" t="s">
        <v>67</v>
      </c>
      <c r="B24" s="13" t="s">
        <v>68</v>
      </c>
      <c r="C24" s="29" t="s">
        <v>69</v>
      </c>
      <c r="D24" s="24"/>
      <c r="E24" s="24"/>
      <c r="F24" s="27"/>
    </row>
    <row r="25" ht="30.0" customHeight="1">
      <c r="A25" s="13" t="s">
        <v>70</v>
      </c>
      <c r="B25" s="13" t="s">
        <v>71</v>
      </c>
      <c r="C25" s="29" t="s">
        <v>72</v>
      </c>
      <c r="D25" s="24"/>
      <c r="E25" s="24"/>
      <c r="F25" s="27"/>
    </row>
    <row r="26" ht="30.0" customHeight="1">
      <c r="A26" s="13" t="s">
        <v>75</v>
      </c>
      <c r="B26" s="13" t="s">
        <v>76</v>
      </c>
      <c r="C26" s="29" t="s">
        <v>77</v>
      </c>
      <c r="D26" s="24"/>
      <c r="E26" s="24"/>
      <c r="F26" s="27"/>
    </row>
    <row r="27" ht="30.0" customHeight="1">
      <c r="A27" s="13" t="s">
        <v>80</v>
      </c>
      <c r="B27" s="13" t="s">
        <v>81</v>
      </c>
      <c r="C27" s="29" t="s">
        <v>82</v>
      </c>
      <c r="D27" s="24"/>
      <c r="E27" s="24"/>
      <c r="F27" s="27"/>
    </row>
    <row r="28" ht="30.0" customHeight="1">
      <c r="A28" s="13" t="s">
        <v>83</v>
      </c>
      <c r="B28" s="13" t="s">
        <v>84</v>
      </c>
      <c r="C28" s="29" t="s">
        <v>85</v>
      </c>
      <c r="D28" s="24"/>
      <c r="E28" s="24"/>
      <c r="F28" s="27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F1"/>
    <mergeCell ref="A2:F2"/>
    <mergeCell ref="A16:F16"/>
    <mergeCell ref="B17:C17"/>
    <mergeCell ref="D17:F17"/>
    <mergeCell ref="B18:C18"/>
    <mergeCell ref="D18:F18"/>
    <mergeCell ref="C24:F24"/>
    <mergeCell ref="C25:F25"/>
    <mergeCell ref="C26:F26"/>
    <mergeCell ref="C27:F27"/>
    <mergeCell ref="C28:F28"/>
    <mergeCell ref="B19:C19"/>
    <mergeCell ref="D19:F19"/>
    <mergeCell ref="B20:C20"/>
    <mergeCell ref="D20:F20"/>
    <mergeCell ref="B21:C21"/>
    <mergeCell ref="D21:F21"/>
    <mergeCell ref="A23:F23"/>
  </mergeCells>
  <printOptions/>
  <pageMargins bottom="0.75" footer="0.0" header="0.0" left="0.7" right="0.7" top="0.75"/>
  <pageSetup orientation="landscape"/>
  <drawing r:id="rId1"/>
</worksheet>
</file>